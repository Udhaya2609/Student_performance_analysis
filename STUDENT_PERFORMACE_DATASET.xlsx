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esktop\NM PROJECT\"/>
    </mc:Choice>
  </mc:AlternateContent>
  <xr:revisionPtr revIDLastSave="0" documentId="13_ncr:1_{9319D297-C605-4829-8D94-426040212769}" xr6:coauthVersionLast="47" xr6:coauthVersionMax="47" xr10:uidLastSave="{00000000-0000-0000-0000-000000000000}"/>
  <bookViews>
    <workbookView xWindow="-120" yWindow="-120" windowWidth="20730" windowHeight="11040" activeTab="1" xr2:uid="{8BA94B9B-88B2-4FCB-873F-84B6C8A924AF}"/>
  </bookViews>
  <sheets>
    <sheet name="raw data" sheetId="1" r:id="rId1"/>
    <sheet name="clean data" sheetId="2" r:id="rId2"/>
    <sheet name="pt 1" sheetId="3" r:id="rId3"/>
    <sheet name="pt 2" sheetId="4" r:id="rId4"/>
    <sheet name="pt 3" sheetId="5" r:id="rId5"/>
    <sheet name="pt 4" sheetId="6" r:id="rId6"/>
  </sheet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A3" i="2"/>
  <c r="B3" i="2"/>
  <c r="D3" i="2"/>
  <c r="E3" i="2"/>
  <c r="A4" i="2"/>
  <c r="B4" i="2"/>
  <c r="C4" i="2"/>
  <c r="D4" i="2"/>
  <c r="E4" i="2"/>
  <c r="A5" i="2"/>
  <c r="B5" i="2"/>
  <c r="C5" i="2"/>
  <c r="D5" i="2"/>
  <c r="E5" i="2"/>
  <c r="A6" i="2"/>
  <c r="B6" i="2"/>
  <c r="C6" i="2"/>
  <c r="D6" i="2"/>
  <c r="E6" i="2"/>
  <c r="A7" i="2"/>
  <c r="B7" i="2"/>
  <c r="C7" i="2"/>
  <c r="D7" i="2"/>
  <c r="E7" i="2"/>
  <c r="A8" i="2"/>
  <c r="B8" i="2"/>
  <c r="C8" i="2"/>
  <c r="D8" i="2"/>
  <c r="E8" i="2"/>
  <c r="A9" i="2"/>
  <c r="B9" i="2"/>
  <c r="C9" i="2"/>
  <c r="D9" i="2"/>
  <c r="E9" i="2"/>
  <c r="A10" i="2"/>
  <c r="B10" i="2"/>
  <c r="C10" i="2"/>
  <c r="D10" i="2"/>
  <c r="E10" i="2"/>
  <c r="A11" i="2"/>
  <c r="B11" i="2"/>
  <c r="C11" i="2"/>
  <c r="D11" i="2"/>
  <c r="E11" i="2"/>
  <c r="A12" i="2"/>
  <c r="B12" i="2"/>
  <c r="C12" i="2"/>
  <c r="D12" i="2"/>
  <c r="E12" i="2"/>
  <c r="A13" i="2"/>
  <c r="B13" i="2"/>
  <c r="C13" i="2"/>
  <c r="D13" i="2"/>
  <c r="E13" i="2"/>
  <c r="A14" i="2"/>
  <c r="B14" i="2"/>
  <c r="C14" i="2"/>
  <c r="D14" i="2"/>
  <c r="E14" i="2"/>
  <c r="A15" i="2"/>
  <c r="B15" i="2"/>
  <c r="C15" i="2"/>
  <c r="D15" i="2"/>
  <c r="E15" i="2"/>
  <c r="A16" i="2"/>
  <c r="B16" i="2"/>
  <c r="C16" i="2"/>
  <c r="D16" i="2"/>
  <c r="E16" i="2"/>
  <c r="A17" i="2"/>
  <c r="B17" i="2"/>
  <c r="C17" i="2"/>
  <c r="D17" i="2"/>
  <c r="E17" i="2"/>
  <c r="A18" i="2"/>
  <c r="B18" i="2"/>
  <c r="C18" i="2"/>
  <c r="D18" i="2"/>
  <c r="E18" i="2"/>
  <c r="A19" i="2"/>
  <c r="B19" i="2"/>
  <c r="C19" i="2"/>
  <c r="D19" i="2"/>
  <c r="E19" i="2"/>
  <c r="A20" i="2"/>
  <c r="B20" i="2"/>
  <c r="C20" i="2"/>
  <c r="D20" i="2"/>
  <c r="E20" i="2"/>
  <c r="A21" i="2"/>
  <c r="B21" i="2"/>
  <c r="C21" i="2"/>
  <c r="D21" i="2"/>
  <c r="E21" i="2"/>
  <c r="A22" i="2"/>
  <c r="B22" i="2"/>
  <c r="C22" i="2"/>
  <c r="D22" i="2"/>
  <c r="E22" i="2"/>
  <c r="A23" i="2"/>
  <c r="B23" i="2"/>
  <c r="C23" i="2"/>
  <c r="D23" i="2"/>
  <c r="E23" i="2"/>
  <c r="A24" i="2"/>
  <c r="B24" i="2"/>
  <c r="C24" i="2"/>
  <c r="D24" i="2"/>
  <c r="E24" i="2"/>
  <c r="A25" i="2"/>
  <c r="B25" i="2"/>
  <c r="C25" i="2"/>
  <c r="D25" i="2"/>
  <c r="E25" i="2"/>
  <c r="A26" i="2"/>
  <c r="B26" i="2"/>
  <c r="C26" i="2"/>
  <c r="D26" i="2"/>
  <c r="E26" i="2"/>
  <c r="A27" i="2"/>
  <c r="B27" i="2"/>
  <c r="C27" i="2"/>
  <c r="D27" i="2"/>
  <c r="E27" i="2"/>
  <c r="A28" i="2"/>
  <c r="B28" i="2"/>
  <c r="C28" i="2"/>
  <c r="D28" i="2"/>
  <c r="E28" i="2"/>
  <c r="A29" i="2"/>
  <c r="B29" i="2"/>
  <c r="C29" i="2"/>
  <c r="D29" i="2"/>
  <c r="E29" i="2"/>
  <c r="A30" i="2"/>
  <c r="B30" i="2"/>
  <c r="C30" i="2"/>
  <c r="D30" i="2"/>
  <c r="E30" i="2"/>
  <c r="A31" i="2"/>
  <c r="B31" i="2"/>
  <c r="C31" i="2"/>
  <c r="D31" i="2"/>
  <c r="E31" i="2"/>
  <c r="A32" i="2"/>
  <c r="B32" i="2"/>
  <c r="C32" i="2"/>
  <c r="D32" i="2"/>
  <c r="E32" i="2"/>
  <c r="A33" i="2"/>
  <c r="B33" i="2"/>
  <c r="C33" i="2"/>
  <c r="D33" i="2"/>
  <c r="E33" i="2"/>
  <c r="A34" i="2"/>
  <c r="B34" i="2"/>
  <c r="C34" i="2"/>
  <c r="D34" i="2"/>
  <c r="E34" i="2"/>
  <c r="A35" i="2"/>
  <c r="B35" i="2"/>
  <c r="C35" i="2"/>
  <c r="D35" i="2"/>
  <c r="E35" i="2"/>
  <c r="A36" i="2"/>
  <c r="B36" i="2"/>
  <c r="C36" i="2"/>
  <c r="D36" i="2"/>
  <c r="E36" i="2"/>
  <c r="A37" i="2"/>
  <c r="B37" i="2"/>
  <c r="C37" i="2"/>
  <c r="D37" i="2"/>
  <c r="E37" i="2"/>
  <c r="A38" i="2"/>
  <c r="B38" i="2"/>
  <c r="C38" i="2"/>
  <c r="D38" i="2"/>
  <c r="E38" i="2"/>
  <c r="A39" i="2"/>
  <c r="B39" i="2"/>
  <c r="C39" i="2"/>
  <c r="D39" i="2"/>
  <c r="E39" i="2"/>
  <c r="A40" i="2"/>
  <c r="B40" i="2"/>
  <c r="C40" i="2"/>
  <c r="D40" i="2"/>
  <c r="E40" i="2"/>
  <c r="A41" i="2"/>
  <c r="B41" i="2"/>
  <c r="C41" i="2"/>
  <c r="D41" i="2"/>
  <c r="E41" i="2"/>
  <c r="A42" i="2"/>
  <c r="B42" i="2"/>
  <c r="C42" i="2"/>
  <c r="D42" i="2"/>
  <c r="E42" i="2"/>
  <c r="A43" i="2"/>
  <c r="B43" i="2"/>
  <c r="C43" i="2"/>
  <c r="D43" i="2"/>
  <c r="E43" i="2"/>
  <c r="A44" i="2"/>
  <c r="B44" i="2"/>
  <c r="C44" i="2"/>
  <c r="D44" i="2"/>
  <c r="E44" i="2"/>
  <c r="A45" i="2"/>
  <c r="B45" i="2"/>
  <c r="C45" i="2"/>
  <c r="D45" i="2"/>
  <c r="E45" i="2"/>
  <c r="A46" i="2"/>
  <c r="B46" i="2"/>
  <c r="C46" i="2"/>
  <c r="D46" i="2"/>
  <c r="E46" i="2"/>
  <c r="A47" i="2"/>
  <c r="B47" i="2"/>
  <c r="C47" i="2"/>
  <c r="D47" i="2"/>
  <c r="E47" i="2"/>
  <c r="A48" i="2"/>
  <c r="B48" i="2"/>
  <c r="C48" i="2"/>
  <c r="D48" i="2"/>
  <c r="E48" i="2"/>
  <c r="A49" i="2"/>
  <c r="B49" i="2"/>
  <c r="C49" i="2"/>
  <c r="D49" i="2"/>
  <c r="E49" i="2"/>
  <c r="A50" i="2"/>
  <c r="B50" i="2"/>
  <c r="C50" i="2"/>
  <c r="D50" i="2"/>
  <c r="E50" i="2"/>
  <c r="A51" i="2"/>
  <c r="B51" i="2"/>
  <c r="C51" i="2"/>
  <c r="D51" i="2"/>
  <c r="E51" i="2"/>
  <c r="A52" i="2"/>
  <c r="B52" i="2"/>
  <c r="C52" i="2"/>
  <c r="D52" i="2"/>
  <c r="E52" i="2"/>
  <c r="A53" i="2"/>
  <c r="B53" i="2"/>
  <c r="C53" i="2"/>
  <c r="D53" i="2"/>
  <c r="E53" i="2"/>
  <c r="A54" i="2"/>
  <c r="B54" i="2"/>
  <c r="C54" i="2"/>
  <c r="D54" i="2"/>
  <c r="E54" i="2"/>
  <c r="A55" i="2"/>
  <c r="B55" i="2"/>
  <c r="C55" i="2"/>
  <c r="D55" i="2"/>
  <c r="E55" i="2"/>
  <c r="A56" i="2"/>
  <c r="B56" i="2"/>
  <c r="C56" i="2"/>
  <c r="D56" i="2"/>
  <c r="E56" i="2"/>
  <c r="A57" i="2"/>
  <c r="B57" i="2"/>
  <c r="C57" i="2"/>
  <c r="D57" i="2"/>
  <c r="E57" i="2"/>
  <c r="A58" i="2"/>
  <c r="B58" i="2"/>
  <c r="C58" i="2"/>
  <c r="D58" i="2"/>
  <c r="E58" i="2"/>
  <c r="A59" i="2"/>
  <c r="B59" i="2"/>
  <c r="C59" i="2"/>
  <c r="D59" i="2"/>
  <c r="E59" i="2"/>
  <c r="A60" i="2"/>
  <c r="B60" i="2"/>
  <c r="C60" i="2"/>
  <c r="D60" i="2"/>
  <c r="E60" i="2"/>
  <c r="A61" i="2"/>
  <c r="B61" i="2"/>
  <c r="C61" i="2"/>
  <c r="D61" i="2"/>
  <c r="E61" i="2"/>
  <c r="A62" i="2"/>
  <c r="B62" i="2"/>
  <c r="C62" i="2"/>
  <c r="D62" i="2"/>
  <c r="E62" i="2"/>
  <c r="A63" i="2"/>
  <c r="B63" i="2"/>
  <c r="C63" i="2"/>
  <c r="D63" i="2"/>
  <c r="E63" i="2"/>
  <c r="A64" i="2"/>
  <c r="B64" i="2"/>
  <c r="C64" i="2"/>
  <c r="D64" i="2"/>
  <c r="E64" i="2"/>
  <c r="A65" i="2"/>
  <c r="B65" i="2"/>
  <c r="C65" i="2"/>
  <c r="D65" i="2"/>
  <c r="E65" i="2"/>
  <c r="A66" i="2"/>
  <c r="B66" i="2"/>
  <c r="C66" i="2"/>
  <c r="D66" i="2"/>
  <c r="E66" i="2"/>
  <c r="A67" i="2"/>
  <c r="B67" i="2"/>
  <c r="C67" i="2"/>
  <c r="D67" i="2"/>
  <c r="E67" i="2"/>
  <c r="A68" i="2"/>
  <c r="B68" i="2"/>
  <c r="C68" i="2"/>
  <c r="D68" i="2"/>
  <c r="E68" i="2"/>
  <c r="A69" i="2"/>
  <c r="B69" i="2"/>
  <c r="C69" i="2"/>
  <c r="D69" i="2"/>
  <c r="E69" i="2"/>
  <c r="A70" i="2"/>
  <c r="B70" i="2"/>
  <c r="C70" i="2"/>
  <c r="D70" i="2"/>
  <c r="E70" i="2"/>
  <c r="A71" i="2"/>
  <c r="B71" i="2"/>
  <c r="C71" i="2"/>
  <c r="D71" i="2"/>
  <c r="E71" i="2"/>
  <c r="A72" i="2"/>
  <c r="B72" i="2"/>
  <c r="C72" i="2"/>
  <c r="D72" i="2"/>
  <c r="E72" i="2"/>
  <c r="A73" i="2"/>
  <c r="B73" i="2"/>
  <c r="C73" i="2"/>
  <c r="D73" i="2"/>
  <c r="E73" i="2"/>
  <c r="A74" i="2"/>
  <c r="B74" i="2"/>
  <c r="C74" i="2"/>
  <c r="D74" i="2"/>
  <c r="E74" i="2"/>
  <c r="A75" i="2"/>
  <c r="B75" i="2"/>
  <c r="C75" i="2"/>
  <c r="D75" i="2"/>
  <c r="E75" i="2"/>
  <c r="A76" i="2"/>
  <c r="B76" i="2"/>
  <c r="C76" i="2"/>
  <c r="D76" i="2"/>
  <c r="E76" i="2"/>
  <c r="A77" i="2"/>
  <c r="B77" i="2"/>
  <c r="C77" i="2"/>
  <c r="D77" i="2"/>
  <c r="E77" i="2"/>
  <c r="A78" i="2"/>
  <c r="B78" i="2"/>
  <c r="C78" i="2"/>
  <c r="D78" i="2"/>
  <c r="E78" i="2"/>
  <c r="A79" i="2"/>
  <c r="B79" i="2"/>
  <c r="C79" i="2"/>
  <c r="D79" i="2"/>
  <c r="E79" i="2"/>
  <c r="A80" i="2"/>
  <c r="B80" i="2"/>
  <c r="C80" i="2"/>
  <c r="D80" i="2"/>
  <c r="E80" i="2"/>
  <c r="A81" i="2"/>
  <c r="B81" i="2"/>
  <c r="C81" i="2"/>
  <c r="D81" i="2"/>
  <c r="E81" i="2"/>
  <c r="A82" i="2"/>
  <c r="B82" i="2"/>
  <c r="C82" i="2"/>
  <c r="D82" i="2"/>
  <c r="E82" i="2"/>
  <c r="A83" i="2"/>
  <c r="B83" i="2"/>
  <c r="C83" i="2"/>
  <c r="D83" i="2"/>
  <c r="E83" i="2"/>
  <c r="A84" i="2"/>
  <c r="B84" i="2"/>
  <c r="C84" i="2"/>
  <c r="D84" i="2"/>
  <c r="E84" i="2"/>
  <c r="A85" i="2"/>
  <c r="B85" i="2"/>
  <c r="C85" i="2"/>
  <c r="D85" i="2"/>
  <c r="E85" i="2"/>
  <c r="A86" i="2"/>
  <c r="B86" i="2"/>
  <c r="C86" i="2"/>
  <c r="D86" i="2"/>
  <c r="E86" i="2"/>
  <c r="A87" i="2"/>
  <c r="B87" i="2"/>
  <c r="C87" i="2"/>
  <c r="D87" i="2"/>
  <c r="E87" i="2"/>
  <c r="A88" i="2"/>
  <c r="B88" i="2"/>
  <c r="C88" i="2"/>
  <c r="D88" i="2"/>
  <c r="E88" i="2"/>
  <c r="A89" i="2"/>
  <c r="B89" i="2"/>
  <c r="C89" i="2"/>
  <c r="D89" i="2"/>
  <c r="E89" i="2"/>
  <c r="A90" i="2"/>
  <c r="B90" i="2"/>
  <c r="C90" i="2"/>
  <c r="D90" i="2"/>
  <c r="E90" i="2"/>
  <c r="A91" i="2"/>
  <c r="B91" i="2"/>
  <c r="C91" i="2"/>
  <c r="D91" i="2"/>
  <c r="E91" i="2"/>
  <c r="A92" i="2"/>
  <c r="B92" i="2"/>
  <c r="C92" i="2"/>
  <c r="D92" i="2"/>
  <c r="E92" i="2"/>
  <c r="A93" i="2"/>
  <c r="B93" i="2"/>
  <c r="C93" i="2"/>
  <c r="D93" i="2"/>
  <c r="E93" i="2"/>
  <c r="A94" i="2"/>
  <c r="B94" i="2"/>
  <c r="C94" i="2"/>
  <c r="D94" i="2"/>
  <c r="E94" i="2"/>
  <c r="A95" i="2"/>
  <c r="B95" i="2"/>
  <c r="C95" i="2"/>
  <c r="D95" i="2"/>
  <c r="E95" i="2"/>
  <c r="A96" i="2"/>
  <c r="B96" i="2"/>
  <c r="C96" i="2"/>
  <c r="D96" i="2"/>
  <c r="E96" i="2"/>
  <c r="A97" i="2"/>
  <c r="B97" i="2"/>
  <c r="C97" i="2"/>
  <c r="D97" i="2"/>
  <c r="E97" i="2"/>
  <c r="A98" i="2"/>
  <c r="B98" i="2"/>
  <c r="C98" i="2"/>
  <c r="D98" i="2"/>
  <c r="E98" i="2"/>
  <c r="A99" i="2"/>
  <c r="B99" i="2"/>
  <c r="C99" i="2"/>
  <c r="D99" i="2"/>
  <c r="E99" i="2"/>
  <c r="A100" i="2"/>
  <c r="B100" i="2"/>
  <c r="C100" i="2"/>
  <c r="D100" i="2"/>
  <c r="E100" i="2"/>
  <c r="A101" i="2"/>
  <c r="B101" i="2"/>
  <c r="C101" i="2"/>
  <c r="D101" i="2"/>
  <c r="E101" i="2"/>
  <c r="A102" i="2"/>
  <c r="B102" i="2"/>
  <c r="C102" i="2"/>
  <c r="D102" i="2"/>
  <c r="E102" i="2"/>
  <c r="A103" i="2"/>
  <c r="B103" i="2"/>
  <c r="C103" i="2"/>
  <c r="D103" i="2"/>
  <c r="E103" i="2"/>
  <c r="A104" i="2"/>
  <c r="B104" i="2"/>
  <c r="C104" i="2"/>
  <c r="D104" i="2"/>
  <c r="E104" i="2"/>
  <c r="A105" i="2"/>
  <c r="B105" i="2"/>
  <c r="C105" i="2"/>
  <c r="D105" i="2"/>
  <c r="E105" i="2"/>
  <c r="A106" i="2"/>
  <c r="B106" i="2"/>
  <c r="C106" i="2"/>
  <c r="D106" i="2"/>
  <c r="E106" i="2"/>
  <c r="A107" i="2"/>
  <c r="B107" i="2"/>
  <c r="C107" i="2"/>
  <c r="D107" i="2"/>
  <c r="E107" i="2"/>
  <c r="A108" i="2"/>
  <c r="B108" i="2"/>
  <c r="C108" i="2"/>
  <c r="D108" i="2"/>
  <c r="E108" i="2"/>
  <c r="A109" i="2"/>
  <c r="B109" i="2"/>
  <c r="C109" i="2"/>
  <c r="D109" i="2"/>
  <c r="E109" i="2"/>
  <c r="A110" i="2"/>
  <c r="B110" i="2"/>
  <c r="C110" i="2"/>
  <c r="D110" i="2"/>
  <c r="E110" i="2"/>
  <c r="A111" i="2"/>
  <c r="B111" i="2"/>
  <c r="C111" i="2"/>
  <c r="D111" i="2"/>
  <c r="E111" i="2"/>
  <c r="A112" i="2"/>
  <c r="B112" i="2"/>
  <c r="C112" i="2"/>
  <c r="D112" i="2"/>
  <c r="E112" i="2"/>
  <c r="A113" i="2"/>
  <c r="B113" i="2"/>
  <c r="C113" i="2"/>
  <c r="D113" i="2"/>
  <c r="E113" i="2"/>
  <c r="A114" i="2"/>
  <c r="B114" i="2"/>
  <c r="C114" i="2"/>
  <c r="D114" i="2"/>
  <c r="E114" i="2"/>
  <c r="A115" i="2"/>
  <c r="B115" i="2"/>
  <c r="C115" i="2"/>
  <c r="D115" i="2"/>
  <c r="E115" i="2"/>
  <c r="A116" i="2"/>
  <c r="B116" i="2"/>
  <c r="C116" i="2"/>
  <c r="D116" i="2"/>
  <c r="E116" i="2"/>
  <c r="A117" i="2"/>
  <c r="B117" i="2"/>
  <c r="C117" i="2"/>
  <c r="D117" i="2"/>
  <c r="E117" i="2"/>
  <c r="A118" i="2"/>
  <c r="B118" i="2"/>
  <c r="C118" i="2"/>
  <c r="D118" i="2"/>
  <c r="E118" i="2"/>
  <c r="A119" i="2"/>
  <c r="B119" i="2"/>
  <c r="C119" i="2"/>
  <c r="D119" i="2"/>
  <c r="E119" i="2"/>
  <c r="A120" i="2"/>
  <c r="B120" i="2"/>
  <c r="C120" i="2"/>
  <c r="D120" i="2"/>
  <c r="E120" i="2"/>
  <c r="A121" i="2"/>
  <c r="B121" i="2"/>
  <c r="C121" i="2"/>
  <c r="D121" i="2"/>
  <c r="E121" i="2"/>
  <c r="A122" i="2"/>
  <c r="B122" i="2"/>
  <c r="C122" i="2"/>
  <c r="D122" i="2"/>
  <c r="E122" i="2"/>
  <c r="A123" i="2"/>
  <c r="B123" i="2"/>
  <c r="C123" i="2"/>
  <c r="D123" i="2"/>
  <c r="E123" i="2"/>
  <c r="A124" i="2"/>
  <c r="B124" i="2"/>
  <c r="C124" i="2"/>
  <c r="D124" i="2"/>
  <c r="E124" i="2"/>
  <c r="A125" i="2"/>
  <c r="B125" i="2"/>
  <c r="C125" i="2"/>
  <c r="D125" i="2"/>
  <c r="E125" i="2"/>
  <c r="A126" i="2"/>
  <c r="B126" i="2"/>
  <c r="C126" i="2"/>
  <c r="D126" i="2"/>
  <c r="E126" i="2"/>
  <c r="A127" i="2"/>
  <c r="B127" i="2"/>
  <c r="C127" i="2"/>
  <c r="D127" i="2"/>
  <c r="E127" i="2"/>
  <c r="A128" i="2"/>
  <c r="B128" i="2"/>
  <c r="C128" i="2"/>
  <c r="D128" i="2"/>
  <c r="E128" i="2"/>
  <c r="A129" i="2"/>
  <c r="B129" i="2"/>
  <c r="C129" i="2"/>
  <c r="D129" i="2"/>
  <c r="E129" i="2"/>
  <c r="A130" i="2"/>
  <c r="B130" i="2"/>
  <c r="C130" i="2"/>
  <c r="D130" i="2"/>
  <c r="E130" i="2"/>
  <c r="A131" i="2"/>
  <c r="B131" i="2"/>
  <c r="C131" i="2"/>
  <c r="D131" i="2"/>
  <c r="E131" i="2"/>
  <c r="A132" i="2"/>
  <c r="B132" i="2"/>
  <c r="C132" i="2"/>
  <c r="D132" i="2"/>
  <c r="E132" i="2"/>
  <c r="A133" i="2"/>
  <c r="B133" i="2"/>
  <c r="C133" i="2"/>
  <c r="D133" i="2"/>
  <c r="E133" i="2"/>
  <c r="A134" i="2"/>
  <c r="B134" i="2"/>
  <c r="C134" i="2"/>
  <c r="D134" i="2"/>
  <c r="E134" i="2"/>
  <c r="A135" i="2"/>
  <c r="B135" i="2"/>
  <c r="C135" i="2"/>
  <c r="D135" i="2"/>
  <c r="E135" i="2"/>
  <c r="A136" i="2"/>
  <c r="B136" i="2"/>
  <c r="C136" i="2"/>
  <c r="D136" i="2"/>
  <c r="E136" i="2"/>
  <c r="A137" i="2"/>
  <c r="B137" i="2"/>
  <c r="C137" i="2"/>
  <c r="D137" i="2"/>
  <c r="E137" i="2"/>
  <c r="A138" i="2"/>
  <c r="B138" i="2"/>
  <c r="C138" i="2"/>
  <c r="D138" i="2"/>
  <c r="E138" i="2"/>
  <c r="A139" i="2"/>
  <c r="B139" i="2"/>
  <c r="C139" i="2"/>
  <c r="D139" i="2"/>
  <c r="E139" i="2"/>
  <c r="A140" i="2"/>
  <c r="B140" i="2"/>
  <c r="C140" i="2"/>
  <c r="D140" i="2"/>
  <c r="E140" i="2"/>
  <c r="A141" i="2"/>
  <c r="B141" i="2"/>
  <c r="C141" i="2"/>
  <c r="D141" i="2"/>
  <c r="E141" i="2"/>
  <c r="A142" i="2"/>
  <c r="B142" i="2"/>
  <c r="C142" i="2"/>
  <c r="D142" i="2"/>
  <c r="E142" i="2"/>
  <c r="A143" i="2"/>
  <c r="B143" i="2"/>
  <c r="C143" i="2"/>
  <c r="D143" i="2"/>
  <c r="E143" i="2"/>
  <c r="A144" i="2"/>
  <c r="B144" i="2"/>
  <c r="C144" i="2"/>
  <c r="D144" i="2"/>
  <c r="E144" i="2"/>
  <c r="A145" i="2"/>
  <c r="B145" i="2"/>
  <c r="C145" i="2"/>
  <c r="D145" i="2"/>
  <c r="E145" i="2"/>
  <c r="A146" i="2"/>
  <c r="B146" i="2"/>
  <c r="C146" i="2"/>
  <c r="D146" i="2"/>
  <c r="E146" i="2"/>
  <c r="A147" i="2"/>
  <c r="B147" i="2"/>
  <c r="C147" i="2"/>
  <c r="D147" i="2"/>
  <c r="E147" i="2"/>
  <c r="A148" i="2"/>
  <c r="B148" i="2"/>
  <c r="C148" i="2"/>
  <c r="D148" i="2"/>
  <c r="E148" i="2"/>
  <c r="A149" i="2"/>
  <c r="B149" i="2"/>
  <c r="C149" i="2"/>
  <c r="D149" i="2"/>
  <c r="E149" i="2"/>
  <c r="A150" i="2"/>
  <c r="B150" i="2"/>
  <c r="C150" i="2"/>
  <c r="D150" i="2"/>
  <c r="E150" i="2"/>
  <c r="A151" i="2"/>
  <c r="B151" i="2"/>
  <c r="C151" i="2"/>
  <c r="D151" i="2"/>
  <c r="E151" i="2"/>
  <c r="A152" i="2"/>
  <c r="B152" i="2"/>
  <c r="C152" i="2"/>
  <c r="D152" i="2"/>
  <c r="E152" i="2"/>
  <c r="A153" i="2"/>
  <c r="B153" i="2"/>
  <c r="C153" i="2"/>
  <c r="D153" i="2"/>
  <c r="E153" i="2"/>
  <c r="A154" i="2"/>
  <c r="B154" i="2"/>
  <c r="C154" i="2"/>
  <c r="D154" i="2"/>
  <c r="E154" i="2"/>
  <c r="A155" i="2"/>
  <c r="B155" i="2"/>
  <c r="C155" i="2"/>
  <c r="D155" i="2"/>
  <c r="E155" i="2"/>
  <c r="A156" i="2"/>
  <c r="B156" i="2"/>
  <c r="C156" i="2"/>
  <c r="D156" i="2"/>
  <c r="E156" i="2"/>
  <c r="A157" i="2"/>
  <c r="B157" i="2"/>
  <c r="C157" i="2"/>
  <c r="D157" i="2"/>
  <c r="E157" i="2"/>
  <c r="A158" i="2"/>
  <c r="B158" i="2"/>
  <c r="C158" i="2"/>
  <c r="D158" i="2"/>
  <c r="E158" i="2"/>
  <c r="A159" i="2"/>
  <c r="B159" i="2"/>
  <c r="C159" i="2"/>
  <c r="D159" i="2"/>
  <c r="E159" i="2"/>
  <c r="A160" i="2"/>
  <c r="B160" i="2"/>
  <c r="C160" i="2"/>
  <c r="D160" i="2"/>
  <c r="E160" i="2"/>
  <c r="A161" i="2"/>
  <c r="B161" i="2"/>
  <c r="C161" i="2"/>
  <c r="D161" i="2"/>
  <c r="E161" i="2"/>
  <c r="A162" i="2"/>
  <c r="B162" i="2"/>
  <c r="C162" i="2"/>
  <c r="D162" i="2"/>
  <c r="E162" i="2"/>
  <c r="A163" i="2"/>
  <c r="B163" i="2"/>
  <c r="C163" i="2"/>
  <c r="D163" i="2"/>
  <c r="E163" i="2"/>
  <c r="A164" i="2"/>
  <c r="B164" i="2"/>
  <c r="C164" i="2"/>
  <c r="D164" i="2"/>
  <c r="E164" i="2"/>
  <c r="A165" i="2"/>
  <c r="B165" i="2"/>
  <c r="C165" i="2"/>
  <c r="D165" i="2"/>
  <c r="E165" i="2"/>
  <c r="A166" i="2"/>
  <c r="B166" i="2"/>
  <c r="C166" i="2"/>
  <c r="D166" i="2"/>
  <c r="E166" i="2"/>
  <c r="A167" i="2"/>
  <c r="B167" i="2"/>
  <c r="C167" i="2"/>
  <c r="D167" i="2"/>
  <c r="E167" i="2"/>
  <c r="A168" i="2"/>
  <c r="B168" i="2"/>
  <c r="C168" i="2"/>
  <c r="D168" i="2"/>
  <c r="E168" i="2"/>
  <c r="A169" i="2"/>
  <c r="B169" i="2"/>
  <c r="C169" i="2"/>
  <c r="D169" i="2"/>
  <c r="E169" i="2"/>
  <c r="A170" i="2"/>
  <c r="B170" i="2"/>
  <c r="C170" i="2"/>
  <c r="D170" i="2"/>
  <c r="E170" i="2"/>
  <c r="A171" i="2"/>
  <c r="B171" i="2"/>
  <c r="C171" i="2"/>
  <c r="D171" i="2"/>
  <c r="E171" i="2"/>
  <c r="A172" i="2"/>
  <c r="B172" i="2"/>
  <c r="C172" i="2"/>
  <c r="D172" i="2"/>
  <c r="E172" i="2"/>
  <c r="A173" i="2"/>
  <c r="B173" i="2"/>
  <c r="C173" i="2"/>
  <c r="D173" i="2"/>
  <c r="E173" i="2"/>
  <c r="A174" i="2"/>
  <c r="B174" i="2"/>
  <c r="C174" i="2"/>
  <c r="D174" i="2"/>
  <c r="E174" i="2"/>
  <c r="A175" i="2"/>
  <c r="B175" i="2"/>
  <c r="C175" i="2"/>
  <c r="D175" i="2"/>
  <c r="E175" i="2"/>
  <c r="A176" i="2"/>
  <c r="B176" i="2"/>
  <c r="C176" i="2"/>
  <c r="D176" i="2"/>
  <c r="E176" i="2"/>
  <c r="A177" i="2"/>
  <c r="B177" i="2"/>
  <c r="C177" i="2"/>
  <c r="D177" i="2"/>
  <c r="E177" i="2"/>
  <c r="A178" i="2"/>
  <c r="B178" i="2"/>
  <c r="C178" i="2"/>
  <c r="D178" i="2"/>
  <c r="E178" i="2"/>
  <c r="A179" i="2"/>
  <c r="B179" i="2"/>
  <c r="C179" i="2"/>
  <c r="D179" i="2"/>
  <c r="E179" i="2"/>
  <c r="A180" i="2"/>
  <c r="B180" i="2"/>
  <c r="C180" i="2"/>
  <c r="D180" i="2"/>
  <c r="E180" i="2"/>
  <c r="A181" i="2"/>
  <c r="B181" i="2"/>
  <c r="C181" i="2"/>
  <c r="D181" i="2"/>
  <c r="E181" i="2"/>
  <c r="A182" i="2"/>
  <c r="B182" i="2"/>
  <c r="C182" i="2"/>
  <c r="D182" i="2"/>
  <c r="E182" i="2"/>
  <c r="A183" i="2"/>
  <c r="B183" i="2"/>
  <c r="C183" i="2"/>
  <c r="D183" i="2"/>
  <c r="E183" i="2"/>
  <c r="A184" i="2"/>
  <c r="B184" i="2"/>
  <c r="C184" i="2"/>
  <c r="D184" i="2"/>
  <c r="E184" i="2"/>
  <c r="A185" i="2"/>
  <c r="B185" i="2"/>
  <c r="C185" i="2"/>
  <c r="D185" i="2"/>
  <c r="E185" i="2"/>
  <c r="A186" i="2"/>
  <c r="B186" i="2"/>
  <c r="C186" i="2"/>
  <c r="D186" i="2"/>
  <c r="E186" i="2"/>
  <c r="A187" i="2"/>
  <c r="B187" i="2"/>
  <c r="C187" i="2"/>
  <c r="D187" i="2"/>
  <c r="E187" i="2"/>
  <c r="A188" i="2"/>
  <c r="B188" i="2"/>
  <c r="C188" i="2"/>
  <c r="D188" i="2"/>
  <c r="E188" i="2"/>
  <c r="A189" i="2"/>
  <c r="B189" i="2"/>
  <c r="C189" i="2"/>
  <c r="D189" i="2"/>
  <c r="E189" i="2"/>
  <c r="A190" i="2"/>
  <c r="B190" i="2"/>
  <c r="C190" i="2"/>
  <c r="D190" i="2"/>
  <c r="E190" i="2"/>
  <c r="A191" i="2"/>
  <c r="B191" i="2"/>
  <c r="C191" i="2"/>
  <c r="D191" i="2"/>
  <c r="E191" i="2"/>
  <c r="A192" i="2"/>
  <c r="B192" i="2"/>
  <c r="C192" i="2"/>
  <c r="D192" i="2"/>
  <c r="E192" i="2"/>
  <c r="A193" i="2"/>
  <c r="B193" i="2"/>
  <c r="C193" i="2"/>
  <c r="D193" i="2"/>
  <c r="E193" i="2"/>
  <c r="A194" i="2"/>
  <c r="B194" i="2"/>
  <c r="C194" i="2"/>
  <c r="D194" i="2"/>
  <c r="E194" i="2"/>
  <c r="A195" i="2"/>
  <c r="B195" i="2"/>
  <c r="C195" i="2"/>
  <c r="D195" i="2"/>
  <c r="E195" i="2"/>
  <c r="A196" i="2"/>
  <c r="B196" i="2"/>
  <c r="C196" i="2"/>
  <c r="D196" i="2"/>
  <c r="E196" i="2"/>
  <c r="A197" i="2"/>
  <c r="B197" i="2"/>
  <c r="C197" i="2"/>
  <c r="D197" i="2"/>
  <c r="E197" i="2"/>
  <c r="A198" i="2"/>
  <c r="B198" i="2"/>
  <c r="C198" i="2"/>
  <c r="D198" i="2"/>
  <c r="E198" i="2"/>
  <c r="A199" i="2"/>
  <c r="B199" i="2"/>
  <c r="C199" i="2"/>
  <c r="D199" i="2"/>
  <c r="E199" i="2"/>
  <c r="A200" i="2"/>
  <c r="B200" i="2"/>
  <c r="C200" i="2"/>
  <c r="D200" i="2"/>
  <c r="E200" i="2"/>
  <c r="A201" i="2"/>
  <c r="B201" i="2"/>
  <c r="C201" i="2"/>
  <c r="D201" i="2"/>
  <c r="E201" i="2"/>
  <c r="A202" i="2"/>
  <c r="B202" i="2"/>
  <c r="C202" i="2"/>
  <c r="D202" i="2"/>
  <c r="E202" i="2"/>
  <c r="A203" i="2"/>
  <c r="B203" i="2"/>
  <c r="C203" i="2"/>
  <c r="D203" i="2"/>
  <c r="E203" i="2"/>
  <c r="A204" i="2"/>
  <c r="B204" i="2"/>
  <c r="C204" i="2"/>
  <c r="D204" i="2"/>
  <c r="E204" i="2"/>
  <c r="A205" i="2"/>
  <c r="B205" i="2"/>
  <c r="C205" i="2"/>
  <c r="D205" i="2"/>
  <c r="E205" i="2"/>
  <c r="A206" i="2"/>
  <c r="B206" i="2"/>
  <c r="C206" i="2"/>
  <c r="D206" i="2"/>
  <c r="E206" i="2"/>
  <c r="A207" i="2"/>
  <c r="B207" i="2"/>
  <c r="C207" i="2"/>
  <c r="D207" i="2"/>
  <c r="E207" i="2"/>
  <c r="A208" i="2"/>
  <c r="B208" i="2"/>
  <c r="C208" i="2"/>
  <c r="D208" i="2"/>
  <c r="E208" i="2"/>
  <c r="A209" i="2"/>
  <c r="B209" i="2"/>
  <c r="C209" i="2"/>
  <c r="D209" i="2"/>
  <c r="E209" i="2"/>
  <c r="A210" i="2"/>
  <c r="B210" i="2"/>
  <c r="C210" i="2"/>
  <c r="D210" i="2"/>
  <c r="E210" i="2"/>
  <c r="A211" i="2"/>
  <c r="B211" i="2"/>
  <c r="C211" i="2"/>
  <c r="D211" i="2"/>
  <c r="E211" i="2"/>
  <c r="A212" i="2"/>
  <c r="B212" i="2"/>
  <c r="C212" i="2"/>
  <c r="D212" i="2"/>
  <c r="E212" i="2"/>
  <c r="A213" i="2"/>
  <c r="B213" i="2"/>
  <c r="C213" i="2"/>
  <c r="D213" i="2"/>
  <c r="E213" i="2"/>
  <c r="A214" i="2"/>
  <c r="B214" i="2"/>
  <c r="C214" i="2"/>
  <c r="D214" i="2"/>
  <c r="E214" i="2"/>
  <c r="A215" i="2"/>
  <c r="B215" i="2"/>
  <c r="C215" i="2"/>
  <c r="D215" i="2"/>
  <c r="E215" i="2"/>
  <c r="A216" i="2"/>
  <c r="B216" i="2"/>
  <c r="C216" i="2"/>
  <c r="D216" i="2"/>
  <c r="E216" i="2"/>
  <c r="A217" i="2"/>
  <c r="B217" i="2"/>
  <c r="C217" i="2"/>
  <c r="D217" i="2"/>
  <c r="E217" i="2"/>
  <c r="A218" i="2"/>
  <c r="B218" i="2"/>
  <c r="C218" i="2"/>
  <c r="D218" i="2"/>
  <c r="E218" i="2"/>
  <c r="A219" i="2"/>
  <c r="B219" i="2"/>
  <c r="C219" i="2"/>
  <c r="D219" i="2"/>
  <c r="E219" i="2"/>
  <c r="A220" i="2"/>
  <c r="B220" i="2"/>
  <c r="C220" i="2"/>
  <c r="D220" i="2"/>
  <c r="E220" i="2"/>
  <c r="A221" i="2"/>
  <c r="B221" i="2"/>
  <c r="C221" i="2"/>
  <c r="D221" i="2"/>
  <c r="E221" i="2"/>
  <c r="A222" i="2"/>
  <c r="B222" i="2"/>
  <c r="C222" i="2"/>
  <c r="D222" i="2"/>
  <c r="E222" i="2"/>
  <c r="A223" i="2"/>
  <c r="B223" i="2"/>
  <c r="C223" i="2"/>
  <c r="D223" i="2"/>
  <c r="E223" i="2"/>
  <c r="A224" i="2"/>
  <c r="B224" i="2"/>
  <c r="C224" i="2"/>
  <c r="D224" i="2"/>
  <c r="E224" i="2"/>
  <c r="A225" i="2"/>
  <c r="B225" i="2"/>
  <c r="C225" i="2"/>
  <c r="D225" i="2"/>
  <c r="E225" i="2"/>
  <c r="A226" i="2"/>
  <c r="B226" i="2"/>
  <c r="C226" i="2"/>
  <c r="D226" i="2"/>
  <c r="E226" i="2"/>
  <c r="A227" i="2"/>
  <c r="B227" i="2"/>
  <c r="C227" i="2"/>
  <c r="D227" i="2"/>
  <c r="E227" i="2"/>
  <c r="A228" i="2"/>
  <c r="B228" i="2"/>
  <c r="C228" i="2"/>
  <c r="D228" i="2"/>
  <c r="E228" i="2"/>
  <c r="A229" i="2"/>
  <c r="B229" i="2"/>
  <c r="C229" i="2"/>
  <c r="D229" i="2"/>
  <c r="E229" i="2"/>
  <c r="A230" i="2"/>
  <c r="B230" i="2"/>
  <c r="C230" i="2"/>
  <c r="D230" i="2"/>
  <c r="E230" i="2"/>
  <c r="A231" i="2"/>
  <c r="B231" i="2"/>
  <c r="C231" i="2"/>
  <c r="D231" i="2"/>
  <c r="E231" i="2"/>
  <c r="A232" i="2"/>
  <c r="B232" i="2"/>
  <c r="C232" i="2"/>
  <c r="D232" i="2"/>
  <c r="E232" i="2"/>
  <c r="A233" i="2"/>
  <c r="B233" i="2"/>
  <c r="C233" i="2"/>
  <c r="D233" i="2"/>
  <c r="E233" i="2"/>
  <c r="A234" i="2"/>
  <c r="B234" i="2"/>
  <c r="C234" i="2"/>
  <c r="D234" i="2"/>
  <c r="E234" i="2"/>
  <c r="A235" i="2"/>
  <c r="B235" i="2"/>
  <c r="C235" i="2"/>
  <c r="D235" i="2"/>
  <c r="E235" i="2"/>
  <c r="A236" i="2"/>
  <c r="B236" i="2"/>
  <c r="C236" i="2"/>
  <c r="D236" i="2"/>
  <c r="E236" i="2"/>
  <c r="A237" i="2"/>
  <c r="B237" i="2"/>
  <c r="C237" i="2"/>
  <c r="D237" i="2"/>
  <c r="E237" i="2"/>
  <c r="A238" i="2"/>
  <c r="B238" i="2"/>
  <c r="C238" i="2"/>
  <c r="D238" i="2"/>
  <c r="E238" i="2"/>
  <c r="A239" i="2"/>
  <c r="B239" i="2"/>
  <c r="C239" i="2"/>
  <c r="D239" i="2"/>
  <c r="E239" i="2"/>
  <c r="A240" i="2"/>
  <c r="B240" i="2"/>
  <c r="C240" i="2"/>
  <c r="D240" i="2"/>
  <c r="E240" i="2"/>
  <c r="A241" i="2"/>
  <c r="B241" i="2"/>
  <c r="C241" i="2"/>
  <c r="D241" i="2"/>
  <c r="E241" i="2"/>
  <c r="A242" i="2"/>
  <c r="B242" i="2"/>
  <c r="C242" i="2"/>
  <c r="D242" i="2"/>
  <c r="E242" i="2"/>
  <c r="A243" i="2"/>
  <c r="B243" i="2"/>
  <c r="C243" i="2"/>
  <c r="D243" i="2"/>
  <c r="E243" i="2"/>
  <c r="A244" i="2"/>
  <c r="B244" i="2"/>
  <c r="C244" i="2"/>
  <c r="D244" i="2"/>
  <c r="E244" i="2"/>
  <c r="A245" i="2"/>
  <c r="B245" i="2"/>
  <c r="C245" i="2"/>
  <c r="D245" i="2"/>
  <c r="E245" i="2"/>
  <c r="A246" i="2"/>
  <c r="B246" i="2"/>
  <c r="C246" i="2"/>
  <c r="D246" i="2"/>
  <c r="E246" i="2"/>
  <c r="A247" i="2"/>
  <c r="B247" i="2"/>
  <c r="C247" i="2"/>
  <c r="D247" i="2"/>
  <c r="E247" i="2"/>
  <c r="A248" i="2"/>
  <c r="B248" i="2"/>
  <c r="C248" i="2"/>
  <c r="D248" i="2"/>
  <c r="E248" i="2"/>
  <c r="A249" i="2"/>
  <c r="B249" i="2"/>
  <c r="C249" i="2"/>
  <c r="D249" i="2"/>
  <c r="E249" i="2"/>
  <c r="A250" i="2"/>
  <c r="B250" i="2"/>
  <c r="C250" i="2"/>
  <c r="D250" i="2"/>
  <c r="E250" i="2"/>
  <c r="A251" i="2"/>
  <c r="B251" i="2"/>
  <c r="C251" i="2"/>
  <c r="D251" i="2"/>
  <c r="E251" i="2"/>
  <c r="A252" i="2"/>
  <c r="B252" i="2"/>
  <c r="C252" i="2"/>
  <c r="D252" i="2"/>
  <c r="E252" i="2"/>
  <c r="A253" i="2"/>
  <c r="B253" i="2"/>
  <c r="C253" i="2"/>
  <c r="D253" i="2"/>
  <c r="E253" i="2"/>
  <c r="A254" i="2"/>
  <c r="B254" i="2"/>
  <c r="C254" i="2"/>
  <c r="D254" i="2"/>
  <c r="E254" i="2"/>
  <c r="A255" i="2"/>
  <c r="B255" i="2"/>
  <c r="C255" i="2"/>
  <c r="D255" i="2"/>
  <c r="E255" i="2"/>
  <c r="A256" i="2"/>
  <c r="B256" i="2"/>
  <c r="C256" i="2"/>
  <c r="D256" i="2"/>
  <c r="E256" i="2"/>
  <c r="A257" i="2"/>
  <c r="B257" i="2"/>
  <c r="C257" i="2"/>
  <c r="D257" i="2"/>
  <c r="E257" i="2"/>
  <c r="A258" i="2"/>
  <c r="B258" i="2"/>
  <c r="C258" i="2"/>
  <c r="D258" i="2"/>
  <c r="E258" i="2"/>
  <c r="A259" i="2"/>
  <c r="B259" i="2"/>
  <c r="C259" i="2"/>
  <c r="D259" i="2"/>
  <c r="E259" i="2"/>
  <c r="A260" i="2"/>
  <c r="B260" i="2"/>
  <c r="C260" i="2"/>
  <c r="D260" i="2"/>
  <c r="E260" i="2"/>
  <c r="A261" i="2"/>
  <c r="B261" i="2"/>
  <c r="C261" i="2"/>
  <c r="D261" i="2"/>
  <c r="E261" i="2"/>
  <c r="A262" i="2"/>
  <c r="B262" i="2"/>
  <c r="C262" i="2"/>
  <c r="D262" i="2"/>
  <c r="E262" i="2"/>
  <c r="A263" i="2"/>
  <c r="B263" i="2"/>
  <c r="C263" i="2"/>
  <c r="D263" i="2"/>
  <c r="E263" i="2"/>
  <c r="A264" i="2"/>
  <c r="B264" i="2"/>
  <c r="C264" i="2"/>
  <c r="D264" i="2"/>
  <c r="E264" i="2"/>
  <c r="A265" i="2"/>
  <c r="B265" i="2"/>
  <c r="C265" i="2"/>
  <c r="D265" i="2"/>
  <c r="E265" i="2"/>
  <c r="A266" i="2"/>
  <c r="B266" i="2"/>
  <c r="C266" i="2"/>
  <c r="D266" i="2"/>
  <c r="E266" i="2"/>
  <c r="A267" i="2"/>
  <c r="B267" i="2"/>
  <c r="C267" i="2"/>
  <c r="D267" i="2"/>
  <c r="E267" i="2"/>
  <c r="A268" i="2"/>
  <c r="B268" i="2"/>
  <c r="C268" i="2"/>
  <c r="D268" i="2"/>
  <c r="E268" i="2"/>
  <c r="A269" i="2"/>
  <c r="B269" i="2"/>
  <c r="C269" i="2"/>
  <c r="D269" i="2"/>
  <c r="E269" i="2"/>
  <c r="A270" i="2"/>
  <c r="B270" i="2"/>
  <c r="C270" i="2"/>
  <c r="D270" i="2"/>
  <c r="E270" i="2"/>
  <c r="A271" i="2"/>
  <c r="B271" i="2"/>
  <c r="C271" i="2"/>
  <c r="D271" i="2"/>
  <c r="E271" i="2"/>
  <c r="A272" i="2"/>
  <c r="B272" i="2"/>
  <c r="C272" i="2"/>
  <c r="D272" i="2"/>
  <c r="E272" i="2"/>
  <c r="A273" i="2"/>
  <c r="B273" i="2"/>
  <c r="C273" i="2"/>
  <c r="D273" i="2"/>
  <c r="E273" i="2"/>
  <c r="A274" i="2"/>
  <c r="B274" i="2"/>
  <c r="C274" i="2"/>
  <c r="D274" i="2"/>
  <c r="E274" i="2"/>
  <c r="A275" i="2"/>
  <c r="B275" i="2"/>
  <c r="C275" i="2"/>
  <c r="D275" i="2"/>
  <c r="E275" i="2"/>
  <c r="A276" i="2"/>
  <c r="B276" i="2"/>
  <c r="C276" i="2"/>
  <c r="D276" i="2"/>
  <c r="E276" i="2"/>
  <c r="A277" i="2"/>
  <c r="B277" i="2"/>
  <c r="C277" i="2"/>
  <c r="D277" i="2"/>
  <c r="E277" i="2"/>
  <c r="A278" i="2"/>
  <c r="B278" i="2"/>
  <c r="C278" i="2"/>
  <c r="D278" i="2"/>
  <c r="E278" i="2"/>
  <c r="A279" i="2"/>
  <c r="B279" i="2"/>
  <c r="C279" i="2"/>
  <c r="D279" i="2"/>
  <c r="E279" i="2"/>
  <c r="A280" i="2"/>
  <c r="B280" i="2"/>
  <c r="C280" i="2"/>
  <c r="D280" i="2"/>
  <c r="E280" i="2"/>
  <c r="A281" i="2"/>
  <c r="B281" i="2"/>
  <c r="C281" i="2"/>
  <c r="D281" i="2"/>
  <c r="E281" i="2"/>
  <c r="A282" i="2"/>
  <c r="B282" i="2"/>
  <c r="C282" i="2"/>
  <c r="D282" i="2"/>
  <c r="E282" i="2"/>
  <c r="A283" i="2"/>
  <c r="B283" i="2"/>
  <c r="C283" i="2"/>
  <c r="D283" i="2"/>
  <c r="E283" i="2"/>
  <c r="A284" i="2"/>
  <c r="B284" i="2"/>
  <c r="C284" i="2"/>
  <c r="D284" i="2"/>
  <c r="E284" i="2"/>
  <c r="A285" i="2"/>
  <c r="B285" i="2"/>
  <c r="C285" i="2"/>
  <c r="D285" i="2"/>
  <c r="E285" i="2"/>
  <c r="A286" i="2"/>
  <c r="B286" i="2"/>
  <c r="C286" i="2"/>
  <c r="D286" i="2"/>
  <c r="E286" i="2"/>
  <c r="A287" i="2"/>
  <c r="B287" i="2"/>
  <c r="C287" i="2"/>
  <c r="D287" i="2"/>
  <c r="E287" i="2"/>
  <c r="A288" i="2"/>
  <c r="B288" i="2"/>
  <c r="C288" i="2"/>
  <c r="D288" i="2"/>
  <c r="E288" i="2"/>
  <c r="A289" i="2"/>
  <c r="B289" i="2"/>
  <c r="C289" i="2"/>
  <c r="D289" i="2"/>
  <c r="E289" i="2"/>
  <c r="A290" i="2"/>
  <c r="B290" i="2"/>
  <c r="C290" i="2"/>
  <c r="D290" i="2"/>
  <c r="E290" i="2"/>
  <c r="A291" i="2"/>
  <c r="B291" i="2"/>
  <c r="C291" i="2"/>
  <c r="D291" i="2"/>
  <c r="E291" i="2"/>
  <c r="A292" i="2"/>
  <c r="B292" i="2"/>
  <c r="C292" i="2"/>
  <c r="D292" i="2"/>
  <c r="E292" i="2"/>
  <c r="A293" i="2"/>
  <c r="B293" i="2"/>
  <c r="C293" i="2"/>
  <c r="D293" i="2"/>
  <c r="E293" i="2"/>
  <c r="A294" i="2"/>
  <c r="B294" i="2"/>
  <c r="C294" i="2"/>
  <c r="D294" i="2"/>
  <c r="E294" i="2"/>
  <c r="A295" i="2"/>
  <c r="B295" i="2"/>
  <c r="C295" i="2"/>
  <c r="D295" i="2"/>
  <c r="E295" i="2"/>
  <c r="A296" i="2"/>
  <c r="B296" i="2"/>
  <c r="C296" i="2"/>
  <c r="D296" i="2"/>
  <c r="E296" i="2"/>
  <c r="A297" i="2"/>
  <c r="B297" i="2"/>
  <c r="C297" i="2"/>
  <c r="D297" i="2"/>
  <c r="E297" i="2"/>
  <c r="A298" i="2"/>
  <c r="B298" i="2"/>
  <c r="C298" i="2"/>
  <c r="D298" i="2"/>
  <c r="E298" i="2"/>
  <c r="A299" i="2"/>
  <c r="B299" i="2"/>
  <c r="C299" i="2"/>
  <c r="D299" i="2"/>
  <c r="E299" i="2"/>
  <c r="A300" i="2"/>
  <c r="B300" i="2"/>
  <c r="C300" i="2"/>
  <c r="D300" i="2"/>
  <c r="E300" i="2"/>
  <c r="A301" i="2"/>
  <c r="B301" i="2"/>
  <c r="C301" i="2"/>
  <c r="D301" i="2"/>
  <c r="E301" i="2"/>
  <c r="A302" i="2"/>
  <c r="B302" i="2"/>
  <c r="C302" i="2"/>
  <c r="D302" i="2"/>
  <c r="E302" i="2"/>
  <c r="A303" i="2"/>
  <c r="B303" i="2"/>
  <c r="C303" i="2"/>
  <c r="D303" i="2"/>
  <c r="E303" i="2"/>
  <c r="A304" i="2"/>
  <c r="B304" i="2"/>
  <c r="C304" i="2"/>
  <c r="D304" i="2"/>
  <c r="E304" i="2"/>
  <c r="A305" i="2"/>
  <c r="B305" i="2"/>
  <c r="C305" i="2"/>
  <c r="D305" i="2"/>
  <c r="E305" i="2"/>
  <c r="A306" i="2"/>
  <c r="B306" i="2"/>
  <c r="C306" i="2"/>
  <c r="D306" i="2"/>
  <c r="E306" i="2"/>
  <c r="A307" i="2"/>
  <c r="B307" i="2"/>
  <c r="C307" i="2"/>
  <c r="D307" i="2"/>
  <c r="E307" i="2"/>
  <c r="A308" i="2"/>
  <c r="B308" i="2"/>
  <c r="C308" i="2"/>
  <c r="D308" i="2"/>
  <c r="E308" i="2"/>
  <c r="A309" i="2"/>
  <c r="B309" i="2"/>
  <c r="C309" i="2"/>
  <c r="D309" i="2"/>
  <c r="E309" i="2"/>
  <c r="A310" i="2"/>
  <c r="B310" i="2"/>
  <c r="C310" i="2"/>
  <c r="D310" i="2"/>
  <c r="E310" i="2"/>
  <c r="A311" i="2"/>
  <c r="B311" i="2"/>
  <c r="C311" i="2"/>
  <c r="D311" i="2"/>
  <c r="E311" i="2"/>
  <c r="A312" i="2"/>
  <c r="B312" i="2"/>
  <c r="C312" i="2"/>
  <c r="D312" i="2"/>
  <c r="E312" i="2"/>
  <c r="A313" i="2"/>
  <c r="B313" i="2"/>
  <c r="C313" i="2"/>
  <c r="D313" i="2"/>
  <c r="E313" i="2"/>
  <c r="A314" i="2"/>
  <c r="B314" i="2"/>
  <c r="C314" i="2"/>
  <c r="D314" i="2"/>
  <c r="E314" i="2"/>
  <c r="A315" i="2"/>
  <c r="B315" i="2"/>
  <c r="C315" i="2"/>
  <c r="D315" i="2"/>
  <c r="E315" i="2"/>
  <c r="A316" i="2"/>
  <c r="B316" i="2"/>
  <c r="C316" i="2"/>
  <c r="D316" i="2"/>
  <c r="E316" i="2"/>
  <c r="A317" i="2"/>
  <c r="B317" i="2"/>
  <c r="C317" i="2"/>
  <c r="D317" i="2"/>
  <c r="E317" i="2"/>
  <c r="A318" i="2"/>
  <c r="B318" i="2"/>
  <c r="C318" i="2"/>
  <c r="D318" i="2"/>
  <c r="E318" i="2"/>
  <c r="A319" i="2"/>
  <c r="B319" i="2"/>
  <c r="C319" i="2"/>
  <c r="D319" i="2"/>
  <c r="E319" i="2"/>
  <c r="A320" i="2"/>
  <c r="B320" i="2"/>
  <c r="C320" i="2"/>
  <c r="D320" i="2"/>
  <c r="E320" i="2"/>
  <c r="A321" i="2"/>
  <c r="B321" i="2"/>
  <c r="C321" i="2"/>
  <c r="D321" i="2"/>
  <c r="E321" i="2"/>
  <c r="A322" i="2"/>
  <c r="B322" i="2"/>
  <c r="C322" i="2"/>
  <c r="D322" i="2"/>
  <c r="E322" i="2"/>
  <c r="A323" i="2"/>
  <c r="B323" i="2"/>
  <c r="C323" i="2"/>
  <c r="D323" i="2"/>
  <c r="E323" i="2"/>
  <c r="A324" i="2"/>
  <c r="B324" i="2"/>
  <c r="C324" i="2"/>
  <c r="D324" i="2"/>
  <c r="E324" i="2"/>
  <c r="A325" i="2"/>
  <c r="B325" i="2"/>
  <c r="C325" i="2"/>
  <c r="D325" i="2"/>
  <c r="E325" i="2"/>
  <c r="A326" i="2"/>
  <c r="B326" i="2"/>
  <c r="C326" i="2"/>
  <c r="D326" i="2"/>
  <c r="E326" i="2"/>
  <c r="A327" i="2"/>
  <c r="B327" i="2"/>
  <c r="C327" i="2"/>
  <c r="D327" i="2"/>
  <c r="E327" i="2"/>
  <c r="A328" i="2"/>
  <c r="B328" i="2"/>
  <c r="C328" i="2"/>
  <c r="D328" i="2"/>
  <c r="E328" i="2"/>
  <c r="A329" i="2"/>
  <c r="B329" i="2"/>
  <c r="C329" i="2"/>
  <c r="D329" i="2"/>
  <c r="E329" i="2"/>
  <c r="A330" i="2"/>
  <c r="B330" i="2"/>
  <c r="C330" i="2"/>
  <c r="D330" i="2"/>
  <c r="E330" i="2"/>
  <c r="A331" i="2"/>
  <c r="B331" i="2"/>
  <c r="C331" i="2"/>
  <c r="D331" i="2"/>
  <c r="E331" i="2"/>
  <c r="A332" i="2"/>
  <c r="B332" i="2"/>
  <c r="C332" i="2"/>
  <c r="D332" i="2"/>
  <c r="E332" i="2"/>
  <c r="A333" i="2"/>
  <c r="B333" i="2"/>
  <c r="C333" i="2"/>
  <c r="D333" i="2"/>
  <c r="E333" i="2"/>
  <c r="A334" i="2"/>
  <c r="B334" i="2"/>
  <c r="C334" i="2"/>
  <c r="D334" i="2"/>
  <c r="E334" i="2"/>
  <c r="A335" i="2"/>
  <c r="B335" i="2"/>
  <c r="C335" i="2"/>
  <c r="D335" i="2"/>
  <c r="E335" i="2"/>
  <c r="A336" i="2"/>
  <c r="B336" i="2"/>
  <c r="C336" i="2"/>
  <c r="D336" i="2"/>
  <c r="E336" i="2"/>
  <c r="A337" i="2"/>
  <c r="B337" i="2"/>
  <c r="C337" i="2"/>
  <c r="D337" i="2"/>
  <c r="E337" i="2"/>
  <c r="A338" i="2"/>
  <c r="B338" i="2"/>
  <c r="C338" i="2"/>
  <c r="D338" i="2"/>
  <c r="E338" i="2"/>
  <c r="A339" i="2"/>
  <c r="B339" i="2"/>
  <c r="C339" i="2"/>
  <c r="D339" i="2"/>
  <c r="E339" i="2"/>
  <c r="A340" i="2"/>
  <c r="B340" i="2"/>
  <c r="C340" i="2"/>
  <c r="D340" i="2"/>
  <c r="E340" i="2"/>
  <c r="A341" i="2"/>
  <c r="B341" i="2"/>
  <c r="C341" i="2"/>
  <c r="D341" i="2"/>
  <c r="E341" i="2"/>
  <c r="A342" i="2"/>
  <c r="B342" i="2"/>
  <c r="C342" i="2"/>
  <c r="D342" i="2"/>
  <c r="E342" i="2"/>
  <c r="A343" i="2"/>
  <c r="B343" i="2"/>
  <c r="C343" i="2"/>
  <c r="D343" i="2"/>
  <c r="E343" i="2"/>
  <c r="A344" i="2"/>
  <c r="B344" i="2"/>
  <c r="C344" i="2"/>
  <c r="D344" i="2"/>
  <c r="E344" i="2"/>
  <c r="A345" i="2"/>
  <c r="B345" i="2"/>
  <c r="C345" i="2"/>
  <c r="D345" i="2"/>
  <c r="E345" i="2"/>
  <c r="A346" i="2"/>
  <c r="B346" i="2"/>
  <c r="C346" i="2"/>
  <c r="D346" i="2"/>
  <c r="E346" i="2"/>
  <c r="A347" i="2"/>
  <c r="B347" i="2"/>
  <c r="C347" i="2"/>
  <c r="D347" i="2"/>
  <c r="E347" i="2"/>
  <c r="A348" i="2"/>
  <c r="B348" i="2"/>
  <c r="C348" i="2"/>
  <c r="D348" i="2"/>
  <c r="E348" i="2"/>
  <c r="A349" i="2"/>
  <c r="B349" i="2"/>
  <c r="C349" i="2"/>
  <c r="D349" i="2"/>
  <c r="E349" i="2"/>
  <c r="A350" i="2"/>
  <c r="B350" i="2"/>
  <c r="C350" i="2"/>
  <c r="D350" i="2"/>
  <c r="E350" i="2"/>
  <c r="A351" i="2"/>
  <c r="B351" i="2"/>
  <c r="C351" i="2"/>
  <c r="D351" i="2"/>
  <c r="E351" i="2"/>
  <c r="A352" i="2"/>
  <c r="B352" i="2"/>
  <c r="C352" i="2"/>
  <c r="D352" i="2"/>
  <c r="E352" i="2"/>
  <c r="A353" i="2"/>
  <c r="B353" i="2"/>
  <c r="C353" i="2"/>
  <c r="D353" i="2"/>
  <c r="E353" i="2"/>
  <c r="A354" i="2"/>
  <c r="B354" i="2"/>
  <c r="C354" i="2"/>
  <c r="D354" i="2"/>
  <c r="E354" i="2"/>
  <c r="A355" i="2"/>
  <c r="B355" i="2"/>
  <c r="C355" i="2"/>
  <c r="D355" i="2"/>
  <c r="E355" i="2"/>
  <c r="A356" i="2"/>
  <c r="B356" i="2"/>
  <c r="C356" i="2"/>
  <c r="D356" i="2"/>
  <c r="E356" i="2"/>
  <c r="A357" i="2"/>
  <c r="B357" i="2"/>
  <c r="C357" i="2"/>
  <c r="D357" i="2"/>
  <c r="E357" i="2"/>
  <c r="A358" i="2"/>
  <c r="B358" i="2"/>
  <c r="C358" i="2"/>
  <c r="D358" i="2"/>
  <c r="E358" i="2"/>
  <c r="A359" i="2"/>
  <c r="B359" i="2"/>
  <c r="C359" i="2"/>
  <c r="D359" i="2"/>
  <c r="E359" i="2"/>
  <c r="A360" i="2"/>
  <c r="B360" i="2"/>
  <c r="C360" i="2"/>
  <c r="D360" i="2"/>
  <c r="E360" i="2"/>
  <c r="A361" i="2"/>
  <c r="B361" i="2"/>
  <c r="C361" i="2"/>
  <c r="D361" i="2"/>
  <c r="E361" i="2"/>
  <c r="A362" i="2"/>
  <c r="B362" i="2"/>
  <c r="C362" i="2"/>
  <c r="D362" i="2"/>
  <c r="E362" i="2"/>
  <c r="A363" i="2"/>
  <c r="B363" i="2"/>
  <c r="C363" i="2"/>
  <c r="D363" i="2"/>
  <c r="E363" i="2"/>
  <c r="A364" i="2"/>
  <c r="B364" i="2"/>
  <c r="C364" i="2"/>
  <c r="D364" i="2"/>
  <c r="E364" i="2"/>
  <c r="A365" i="2"/>
  <c r="B365" i="2"/>
  <c r="C365" i="2"/>
  <c r="D365" i="2"/>
  <c r="E365" i="2"/>
  <c r="A366" i="2"/>
  <c r="B366" i="2"/>
  <c r="C366" i="2"/>
  <c r="D366" i="2"/>
  <c r="E366" i="2"/>
  <c r="A367" i="2"/>
  <c r="B367" i="2"/>
  <c r="C367" i="2"/>
  <c r="D367" i="2"/>
  <c r="E367" i="2"/>
  <c r="A368" i="2"/>
  <c r="B368" i="2"/>
  <c r="C368" i="2"/>
  <c r="D368" i="2"/>
  <c r="E368" i="2"/>
  <c r="A369" i="2"/>
  <c r="B369" i="2"/>
  <c r="C369" i="2"/>
  <c r="D369" i="2"/>
  <c r="E369" i="2"/>
  <c r="A370" i="2"/>
  <c r="B370" i="2"/>
  <c r="C370" i="2"/>
  <c r="D370" i="2"/>
  <c r="E370" i="2"/>
  <c r="A371" i="2"/>
  <c r="B371" i="2"/>
  <c r="C371" i="2"/>
  <c r="D371" i="2"/>
  <c r="E371" i="2"/>
  <c r="A372" i="2"/>
  <c r="B372" i="2"/>
  <c r="C372" i="2"/>
  <c r="D372" i="2"/>
  <c r="E372" i="2"/>
  <c r="A373" i="2"/>
  <c r="B373" i="2"/>
  <c r="C373" i="2"/>
  <c r="D373" i="2"/>
  <c r="E373" i="2"/>
  <c r="A374" i="2"/>
  <c r="B374" i="2"/>
  <c r="C374" i="2"/>
  <c r="D374" i="2"/>
  <c r="E374" i="2"/>
  <c r="A375" i="2"/>
  <c r="B375" i="2"/>
  <c r="C375" i="2"/>
  <c r="D375" i="2"/>
  <c r="E375" i="2"/>
  <c r="A376" i="2"/>
  <c r="B376" i="2"/>
  <c r="C376" i="2"/>
  <c r="D376" i="2"/>
  <c r="E376" i="2"/>
  <c r="A377" i="2"/>
  <c r="B377" i="2"/>
  <c r="C377" i="2"/>
  <c r="D377" i="2"/>
  <c r="E377" i="2"/>
  <c r="A378" i="2"/>
  <c r="B378" i="2"/>
  <c r="C378" i="2"/>
  <c r="D378" i="2"/>
  <c r="E378" i="2"/>
  <c r="A379" i="2"/>
  <c r="B379" i="2"/>
  <c r="C379" i="2"/>
  <c r="D379" i="2"/>
  <c r="E379" i="2"/>
  <c r="A380" i="2"/>
  <c r="B380" i="2"/>
  <c r="C380" i="2"/>
  <c r="D380" i="2"/>
  <c r="E380" i="2"/>
  <c r="A381" i="2"/>
  <c r="B381" i="2"/>
  <c r="C381" i="2"/>
  <c r="D381" i="2"/>
  <c r="E381" i="2"/>
  <c r="A382" i="2"/>
  <c r="B382" i="2"/>
  <c r="C382" i="2"/>
  <c r="D382" i="2"/>
  <c r="E382" i="2"/>
  <c r="A383" i="2"/>
  <c r="B383" i="2"/>
  <c r="C383" i="2"/>
  <c r="D383" i="2"/>
  <c r="E383" i="2"/>
  <c r="A384" i="2"/>
  <c r="B384" i="2"/>
  <c r="C384" i="2"/>
  <c r="D384" i="2"/>
  <c r="E384" i="2"/>
  <c r="A385" i="2"/>
  <c r="B385" i="2"/>
  <c r="C385" i="2"/>
  <c r="D385" i="2"/>
  <c r="E385" i="2"/>
  <c r="A386" i="2"/>
  <c r="B386" i="2"/>
  <c r="C386" i="2"/>
  <c r="D386" i="2"/>
  <c r="E386" i="2"/>
  <c r="A387" i="2"/>
  <c r="B387" i="2"/>
  <c r="C387" i="2"/>
  <c r="D387" i="2"/>
  <c r="E387" i="2"/>
  <c r="A388" i="2"/>
  <c r="B388" i="2"/>
  <c r="C388" i="2"/>
  <c r="D388" i="2"/>
  <c r="E388" i="2"/>
  <c r="A389" i="2"/>
  <c r="B389" i="2"/>
  <c r="C389" i="2"/>
  <c r="D389" i="2"/>
  <c r="E389" i="2"/>
  <c r="A390" i="2"/>
  <c r="B390" i="2"/>
  <c r="C390" i="2"/>
  <c r="D390" i="2"/>
  <c r="E390" i="2"/>
  <c r="A391" i="2"/>
  <c r="B391" i="2"/>
  <c r="C391" i="2"/>
  <c r="D391" i="2"/>
  <c r="E391" i="2"/>
  <c r="A392" i="2"/>
  <c r="B392" i="2"/>
  <c r="C392" i="2"/>
  <c r="D392" i="2"/>
  <c r="E392" i="2"/>
  <c r="A393" i="2"/>
  <c r="B393" i="2"/>
  <c r="C393" i="2"/>
  <c r="D393" i="2"/>
  <c r="E393" i="2"/>
  <c r="A394" i="2"/>
  <c r="B394" i="2"/>
  <c r="C394" i="2"/>
  <c r="D394" i="2"/>
  <c r="E394" i="2"/>
  <c r="A395" i="2"/>
  <c r="B395" i="2"/>
  <c r="C395" i="2"/>
  <c r="D395" i="2"/>
  <c r="E395" i="2"/>
  <c r="A396" i="2"/>
  <c r="B396" i="2"/>
  <c r="C396" i="2"/>
  <c r="D396" i="2"/>
  <c r="E396" i="2"/>
  <c r="A397" i="2"/>
  <c r="B397" i="2"/>
  <c r="C397" i="2"/>
  <c r="D397" i="2"/>
  <c r="E397" i="2"/>
  <c r="A398" i="2"/>
  <c r="B398" i="2"/>
  <c r="C398" i="2"/>
  <c r="D398" i="2"/>
  <c r="E398" i="2"/>
  <c r="A399" i="2"/>
  <c r="B399" i="2"/>
  <c r="C399" i="2"/>
  <c r="D399" i="2"/>
  <c r="E399" i="2"/>
  <c r="A400" i="2"/>
  <c r="B400" i="2"/>
  <c r="C400" i="2"/>
  <c r="D400" i="2"/>
  <c r="E400" i="2"/>
  <c r="A401" i="2"/>
  <c r="B401" i="2"/>
  <c r="C401" i="2"/>
  <c r="D401" i="2"/>
  <c r="E401" i="2"/>
  <c r="A402" i="2"/>
  <c r="B402" i="2"/>
  <c r="C402" i="2"/>
  <c r="D402" i="2"/>
  <c r="E402" i="2"/>
  <c r="A403" i="2"/>
  <c r="B403" i="2"/>
  <c r="C403" i="2"/>
  <c r="D403" i="2"/>
  <c r="E403" i="2"/>
  <c r="A404" i="2"/>
  <c r="B404" i="2"/>
  <c r="C404" i="2"/>
  <c r="D404" i="2"/>
  <c r="E404" i="2"/>
  <c r="A405" i="2"/>
  <c r="B405" i="2"/>
  <c r="C405" i="2"/>
  <c r="D405" i="2"/>
  <c r="E405" i="2"/>
  <c r="A406" i="2"/>
  <c r="B406" i="2"/>
  <c r="C406" i="2"/>
  <c r="D406" i="2"/>
  <c r="E406" i="2"/>
  <c r="A407" i="2"/>
  <c r="B407" i="2"/>
  <c r="C407" i="2"/>
  <c r="D407" i="2"/>
  <c r="E407" i="2"/>
  <c r="A408" i="2"/>
  <c r="B408" i="2"/>
  <c r="C408" i="2"/>
  <c r="D408" i="2"/>
  <c r="E408" i="2"/>
  <c r="A409" i="2"/>
  <c r="B409" i="2"/>
  <c r="C409" i="2"/>
  <c r="D409" i="2"/>
  <c r="E409" i="2"/>
  <c r="A410" i="2"/>
  <c r="B410" i="2"/>
  <c r="C410" i="2"/>
  <c r="D410" i="2"/>
  <c r="E410" i="2"/>
  <c r="A411" i="2"/>
  <c r="B411" i="2"/>
  <c r="C411" i="2"/>
  <c r="D411" i="2"/>
  <c r="E411" i="2"/>
  <c r="A412" i="2"/>
  <c r="B412" i="2"/>
  <c r="C412" i="2"/>
  <c r="D412" i="2"/>
  <c r="E412" i="2"/>
  <c r="A413" i="2"/>
  <c r="B413" i="2"/>
  <c r="C413" i="2"/>
  <c r="D413" i="2"/>
  <c r="E413" i="2"/>
  <c r="A414" i="2"/>
  <c r="B414" i="2"/>
  <c r="C414" i="2"/>
  <c r="D414" i="2"/>
  <c r="E414" i="2"/>
  <c r="A415" i="2"/>
  <c r="B415" i="2"/>
  <c r="C415" i="2"/>
  <c r="D415" i="2"/>
  <c r="E415" i="2"/>
  <c r="A416" i="2"/>
  <c r="B416" i="2"/>
  <c r="C416" i="2"/>
  <c r="D416" i="2"/>
  <c r="E416" i="2"/>
  <c r="A417" i="2"/>
  <c r="B417" i="2"/>
  <c r="C417" i="2"/>
  <c r="D417" i="2"/>
  <c r="E417" i="2"/>
  <c r="A418" i="2"/>
  <c r="B418" i="2"/>
  <c r="C418" i="2"/>
  <c r="D418" i="2"/>
  <c r="E418" i="2"/>
  <c r="A419" i="2"/>
  <c r="B419" i="2"/>
  <c r="C419" i="2"/>
  <c r="D419" i="2"/>
  <c r="E419" i="2"/>
  <c r="A420" i="2"/>
  <c r="B420" i="2"/>
  <c r="C420" i="2"/>
  <c r="D420" i="2"/>
  <c r="E420" i="2"/>
  <c r="A421" i="2"/>
  <c r="B421" i="2"/>
  <c r="C421" i="2"/>
  <c r="D421" i="2"/>
  <c r="E421" i="2"/>
  <c r="A422" i="2"/>
  <c r="B422" i="2"/>
  <c r="C422" i="2"/>
  <c r="D422" i="2"/>
  <c r="E422" i="2"/>
  <c r="A423" i="2"/>
  <c r="B423" i="2"/>
  <c r="C423" i="2"/>
  <c r="D423" i="2"/>
  <c r="E423" i="2"/>
  <c r="A424" i="2"/>
  <c r="B424" i="2"/>
  <c r="C424" i="2"/>
  <c r="D424" i="2"/>
  <c r="E424" i="2"/>
  <c r="A425" i="2"/>
  <c r="B425" i="2"/>
  <c r="C425" i="2"/>
  <c r="D425" i="2"/>
  <c r="E425" i="2"/>
  <c r="A426" i="2"/>
  <c r="B426" i="2"/>
  <c r="C426" i="2"/>
  <c r="D426" i="2"/>
  <c r="E426" i="2"/>
  <c r="A427" i="2"/>
  <c r="B427" i="2"/>
  <c r="C427" i="2"/>
  <c r="D427" i="2"/>
  <c r="E427" i="2"/>
  <c r="A428" i="2"/>
  <c r="B428" i="2"/>
  <c r="C428" i="2"/>
  <c r="D428" i="2"/>
  <c r="E428" i="2"/>
  <c r="A429" i="2"/>
  <c r="B429" i="2"/>
  <c r="C429" i="2"/>
  <c r="D429" i="2"/>
  <c r="E429" i="2"/>
  <c r="A430" i="2"/>
  <c r="B430" i="2"/>
  <c r="C430" i="2"/>
  <c r="D430" i="2"/>
  <c r="E430" i="2"/>
  <c r="A431" i="2"/>
  <c r="B431" i="2"/>
  <c r="C431" i="2"/>
  <c r="D431" i="2"/>
  <c r="E431" i="2"/>
  <c r="A432" i="2"/>
  <c r="B432" i="2"/>
  <c r="C432" i="2"/>
  <c r="D432" i="2"/>
  <c r="E432" i="2"/>
  <c r="A433" i="2"/>
  <c r="B433" i="2"/>
  <c r="C433" i="2"/>
  <c r="D433" i="2"/>
  <c r="E433" i="2"/>
  <c r="A434" i="2"/>
  <c r="B434" i="2"/>
  <c r="C434" i="2"/>
  <c r="D434" i="2"/>
  <c r="E434" i="2"/>
  <c r="A435" i="2"/>
  <c r="B435" i="2"/>
  <c r="C435" i="2"/>
  <c r="D435" i="2"/>
  <c r="E435" i="2"/>
  <c r="A436" i="2"/>
  <c r="B436" i="2"/>
  <c r="C436" i="2"/>
  <c r="D436" i="2"/>
  <c r="E436" i="2"/>
  <c r="A437" i="2"/>
  <c r="B437" i="2"/>
  <c r="C437" i="2"/>
  <c r="D437" i="2"/>
  <c r="E437" i="2"/>
  <c r="A438" i="2"/>
  <c r="B438" i="2"/>
  <c r="C438" i="2"/>
  <c r="D438" i="2"/>
  <c r="E438" i="2"/>
  <c r="A439" i="2"/>
  <c r="B439" i="2"/>
  <c r="C439" i="2"/>
  <c r="D439" i="2"/>
  <c r="E439" i="2"/>
  <c r="A440" i="2"/>
  <c r="B440" i="2"/>
  <c r="C440" i="2"/>
  <c r="D440" i="2"/>
  <c r="E440" i="2"/>
  <c r="A441" i="2"/>
  <c r="B441" i="2"/>
  <c r="C441" i="2"/>
  <c r="D441" i="2"/>
  <c r="E441" i="2"/>
  <c r="A442" i="2"/>
  <c r="B442" i="2"/>
  <c r="C442" i="2"/>
  <c r="D442" i="2"/>
  <c r="E442" i="2"/>
  <c r="A443" i="2"/>
  <c r="B443" i="2"/>
  <c r="C443" i="2"/>
  <c r="D443" i="2"/>
  <c r="E443" i="2"/>
  <c r="A444" i="2"/>
  <c r="B444" i="2"/>
  <c r="C444" i="2"/>
  <c r="D444" i="2"/>
  <c r="E444" i="2"/>
  <c r="A445" i="2"/>
  <c r="B445" i="2"/>
  <c r="C445" i="2"/>
  <c r="D445" i="2"/>
  <c r="E445" i="2"/>
  <c r="A446" i="2"/>
  <c r="B446" i="2"/>
  <c r="C446" i="2"/>
  <c r="D446" i="2"/>
  <c r="E446" i="2"/>
  <c r="A447" i="2"/>
  <c r="B447" i="2"/>
  <c r="C447" i="2"/>
  <c r="D447" i="2"/>
  <c r="E447" i="2"/>
  <c r="A448" i="2"/>
  <c r="B448" i="2"/>
  <c r="C448" i="2"/>
  <c r="D448" i="2"/>
  <c r="E448" i="2"/>
  <c r="A449" i="2"/>
  <c r="B449" i="2"/>
  <c r="C449" i="2"/>
  <c r="D449" i="2"/>
  <c r="E449" i="2"/>
  <c r="A450" i="2"/>
  <c r="B450" i="2"/>
  <c r="C450" i="2"/>
  <c r="D450" i="2"/>
  <c r="E450" i="2"/>
  <c r="A451" i="2"/>
  <c r="B451" i="2"/>
  <c r="C451" i="2"/>
  <c r="D451" i="2"/>
  <c r="E451" i="2"/>
  <c r="A452" i="2"/>
  <c r="B452" i="2"/>
  <c r="C452" i="2"/>
  <c r="D452" i="2"/>
  <c r="E452" i="2"/>
  <c r="A453" i="2"/>
  <c r="B453" i="2"/>
  <c r="C453" i="2"/>
  <c r="D453" i="2"/>
  <c r="E453" i="2"/>
  <c r="A454" i="2"/>
  <c r="B454" i="2"/>
  <c r="C454" i="2"/>
  <c r="D454" i="2"/>
  <c r="E454" i="2"/>
  <c r="A455" i="2"/>
  <c r="B455" i="2"/>
  <c r="C455" i="2"/>
  <c r="D455" i="2"/>
  <c r="E455" i="2"/>
  <c r="A456" i="2"/>
  <c r="B456" i="2"/>
  <c r="C456" i="2"/>
  <c r="D456" i="2"/>
  <c r="E456" i="2"/>
  <c r="A457" i="2"/>
  <c r="B457" i="2"/>
  <c r="C457" i="2"/>
  <c r="D457" i="2"/>
  <c r="E457" i="2"/>
  <c r="A458" i="2"/>
  <c r="B458" i="2"/>
  <c r="C458" i="2"/>
  <c r="D458" i="2"/>
  <c r="E458" i="2"/>
  <c r="A459" i="2"/>
  <c r="B459" i="2"/>
  <c r="C459" i="2"/>
  <c r="D459" i="2"/>
  <c r="E459" i="2"/>
  <c r="A460" i="2"/>
  <c r="B460" i="2"/>
  <c r="C460" i="2"/>
  <c r="D460" i="2"/>
  <c r="E460" i="2"/>
  <c r="A461" i="2"/>
  <c r="B461" i="2"/>
  <c r="C461" i="2"/>
  <c r="D461" i="2"/>
  <c r="E461" i="2"/>
  <c r="A462" i="2"/>
  <c r="B462" i="2"/>
  <c r="C462" i="2"/>
  <c r="D462" i="2"/>
  <c r="E462" i="2"/>
  <c r="A463" i="2"/>
  <c r="B463" i="2"/>
  <c r="C463" i="2"/>
  <c r="D463" i="2"/>
  <c r="E463" i="2"/>
  <c r="A464" i="2"/>
  <c r="B464" i="2"/>
  <c r="C464" i="2"/>
  <c r="D464" i="2"/>
  <c r="E464" i="2"/>
  <c r="A465" i="2"/>
  <c r="B465" i="2"/>
  <c r="C465" i="2"/>
  <c r="D465" i="2"/>
  <c r="E465" i="2"/>
  <c r="A466" i="2"/>
  <c r="B466" i="2"/>
  <c r="C466" i="2"/>
  <c r="D466" i="2"/>
  <c r="E466" i="2"/>
  <c r="A467" i="2"/>
  <c r="B467" i="2"/>
  <c r="C467" i="2"/>
  <c r="D467" i="2"/>
  <c r="E467" i="2"/>
  <c r="A468" i="2"/>
  <c r="B468" i="2"/>
  <c r="C468" i="2"/>
  <c r="D468" i="2"/>
  <c r="E468" i="2"/>
  <c r="A469" i="2"/>
  <c r="B469" i="2"/>
  <c r="C469" i="2"/>
  <c r="D469" i="2"/>
  <c r="E469" i="2"/>
  <c r="A470" i="2"/>
  <c r="B470" i="2"/>
  <c r="C470" i="2"/>
  <c r="D470" i="2"/>
  <c r="E470" i="2"/>
  <c r="A471" i="2"/>
  <c r="B471" i="2"/>
  <c r="C471" i="2"/>
  <c r="D471" i="2"/>
  <c r="E471" i="2"/>
  <c r="A472" i="2"/>
  <c r="B472" i="2"/>
  <c r="C472" i="2"/>
  <c r="D472" i="2"/>
  <c r="E472" i="2"/>
  <c r="A473" i="2"/>
  <c r="B473" i="2"/>
  <c r="C473" i="2"/>
  <c r="D473" i="2"/>
  <c r="E473" i="2"/>
  <c r="A474" i="2"/>
  <c r="B474" i="2"/>
  <c r="C474" i="2"/>
  <c r="D474" i="2"/>
  <c r="E474" i="2"/>
  <c r="A475" i="2"/>
  <c r="B475" i="2"/>
  <c r="C475" i="2"/>
  <c r="D475" i="2"/>
  <c r="E475" i="2"/>
  <c r="A476" i="2"/>
  <c r="B476" i="2"/>
  <c r="C476" i="2"/>
  <c r="D476" i="2"/>
  <c r="E476" i="2"/>
  <c r="A477" i="2"/>
  <c r="B477" i="2"/>
  <c r="C477" i="2"/>
  <c r="D477" i="2"/>
  <c r="E477" i="2"/>
  <c r="A478" i="2"/>
  <c r="B478" i="2"/>
  <c r="C478" i="2"/>
  <c r="D478" i="2"/>
  <c r="E478" i="2"/>
  <c r="A479" i="2"/>
  <c r="B479" i="2"/>
  <c r="C479" i="2"/>
  <c r="D479" i="2"/>
  <c r="E479" i="2"/>
  <c r="A480" i="2"/>
  <c r="B480" i="2"/>
  <c r="C480" i="2"/>
  <c r="D480" i="2"/>
  <c r="E480" i="2"/>
  <c r="A481" i="2"/>
  <c r="B481" i="2"/>
  <c r="C481" i="2"/>
  <c r="D481" i="2"/>
  <c r="E481" i="2"/>
  <c r="A482" i="2"/>
  <c r="B482" i="2"/>
  <c r="C482" i="2"/>
  <c r="D482" i="2"/>
  <c r="E482" i="2"/>
  <c r="A483" i="2"/>
  <c r="B483" i="2"/>
  <c r="C483" i="2"/>
  <c r="D483" i="2"/>
  <c r="E483" i="2"/>
  <c r="A484" i="2"/>
  <c r="B484" i="2"/>
  <c r="C484" i="2"/>
  <c r="D484" i="2"/>
  <c r="E484" i="2"/>
  <c r="A485" i="2"/>
  <c r="B485" i="2"/>
  <c r="C485" i="2"/>
  <c r="D485" i="2"/>
  <c r="E485" i="2"/>
  <c r="A486" i="2"/>
  <c r="B486" i="2"/>
  <c r="C486" i="2"/>
  <c r="D486" i="2"/>
  <c r="E486" i="2"/>
  <c r="A487" i="2"/>
  <c r="B487" i="2"/>
  <c r="C487" i="2"/>
  <c r="D487" i="2"/>
  <c r="E487" i="2"/>
  <c r="A488" i="2"/>
  <c r="B488" i="2"/>
  <c r="C488" i="2"/>
  <c r="D488" i="2"/>
  <c r="E488" i="2"/>
  <c r="A489" i="2"/>
  <c r="B489" i="2"/>
  <c r="C489" i="2"/>
  <c r="D489" i="2"/>
  <c r="E489" i="2"/>
  <c r="A490" i="2"/>
  <c r="B490" i="2"/>
  <c r="C490" i="2"/>
  <c r="D490" i="2"/>
  <c r="E490" i="2"/>
  <c r="A491" i="2"/>
  <c r="B491" i="2"/>
  <c r="C491" i="2"/>
  <c r="D491" i="2"/>
  <c r="E491" i="2"/>
  <c r="A492" i="2"/>
  <c r="B492" i="2"/>
  <c r="C492" i="2"/>
  <c r="D492" i="2"/>
  <c r="E492" i="2"/>
  <c r="A493" i="2"/>
  <c r="B493" i="2"/>
  <c r="C493" i="2"/>
  <c r="D493" i="2"/>
  <c r="E493" i="2"/>
  <c r="A494" i="2"/>
  <c r="B494" i="2"/>
  <c r="C494" i="2"/>
  <c r="D494" i="2"/>
  <c r="E494" i="2"/>
  <c r="A495" i="2"/>
  <c r="B495" i="2"/>
  <c r="C495" i="2"/>
  <c r="D495" i="2"/>
  <c r="E495" i="2"/>
  <c r="A496" i="2"/>
  <c r="B496" i="2"/>
  <c r="C496" i="2"/>
  <c r="D496" i="2"/>
  <c r="E496" i="2"/>
  <c r="A497" i="2"/>
  <c r="B497" i="2"/>
  <c r="C497" i="2"/>
  <c r="D497" i="2"/>
  <c r="E497" i="2"/>
  <c r="A498" i="2"/>
  <c r="B498" i="2"/>
  <c r="C498" i="2"/>
  <c r="D498" i="2"/>
  <c r="E498" i="2"/>
  <c r="A499" i="2"/>
  <c r="B499" i="2"/>
  <c r="C499" i="2"/>
  <c r="D499" i="2"/>
  <c r="E499" i="2"/>
  <c r="A500" i="2"/>
  <c r="B500" i="2"/>
  <c r="C500" i="2"/>
  <c r="D500" i="2"/>
  <c r="E500" i="2"/>
  <c r="A501" i="2"/>
  <c r="B501" i="2"/>
  <c r="C501" i="2"/>
  <c r="D501" i="2"/>
  <c r="E501" i="2"/>
  <c r="A502" i="2"/>
  <c r="B502" i="2"/>
  <c r="C502" i="2"/>
  <c r="D502" i="2"/>
  <c r="E502" i="2"/>
  <c r="A503" i="2"/>
  <c r="B503" i="2"/>
  <c r="C503" i="2"/>
  <c r="D503" i="2"/>
  <c r="E503" i="2"/>
  <c r="A504" i="2"/>
  <c r="B504" i="2"/>
  <c r="C504" i="2"/>
  <c r="D504" i="2"/>
  <c r="E504" i="2"/>
  <c r="A505" i="2"/>
  <c r="B505" i="2"/>
  <c r="C505" i="2"/>
  <c r="D505" i="2"/>
  <c r="E505" i="2"/>
  <c r="A506" i="2"/>
  <c r="B506" i="2"/>
  <c r="C506" i="2"/>
  <c r="D506" i="2"/>
  <c r="E506" i="2"/>
  <c r="A507" i="2"/>
  <c r="B507" i="2"/>
  <c r="C507" i="2"/>
  <c r="D507" i="2"/>
  <c r="E507" i="2"/>
  <c r="A508" i="2"/>
  <c r="B508" i="2"/>
  <c r="C508" i="2"/>
  <c r="D508" i="2"/>
  <c r="E508" i="2"/>
  <c r="A509" i="2"/>
  <c r="B509" i="2"/>
  <c r="C509" i="2"/>
  <c r="D509" i="2"/>
  <c r="E509" i="2"/>
  <c r="A510" i="2"/>
  <c r="B510" i="2"/>
  <c r="C510" i="2"/>
  <c r="D510" i="2"/>
  <c r="E510" i="2"/>
  <c r="A511" i="2"/>
  <c r="B511" i="2"/>
  <c r="C511" i="2"/>
  <c r="D511" i="2"/>
  <c r="E511" i="2"/>
  <c r="A512" i="2"/>
  <c r="B512" i="2"/>
  <c r="C512" i="2"/>
  <c r="D512" i="2"/>
  <c r="E512" i="2"/>
  <c r="A513" i="2"/>
  <c r="B513" i="2"/>
  <c r="C513" i="2"/>
  <c r="D513" i="2"/>
  <c r="E513" i="2"/>
  <c r="A514" i="2"/>
  <c r="B514" i="2"/>
  <c r="C514" i="2"/>
  <c r="D514" i="2"/>
  <c r="E514" i="2"/>
  <c r="A515" i="2"/>
  <c r="B515" i="2"/>
  <c r="C515" i="2"/>
  <c r="D515" i="2"/>
  <c r="E515" i="2"/>
  <c r="A516" i="2"/>
  <c r="B516" i="2"/>
  <c r="C516" i="2"/>
  <c r="D516" i="2"/>
  <c r="E516" i="2"/>
  <c r="A517" i="2"/>
  <c r="B517" i="2"/>
  <c r="C517" i="2"/>
  <c r="D517" i="2"/>
  <c r="E517" i="2"/>
  <c r="A518" i="2"/>
  <c r="B518" i="2"/>
  <c r="C518" i="2"/>
  <c r="D518" i="2"/>
  <c r="E518" i="2"/>
  <c r="A519" i="2"/>
  <c r="B519" i="2"/>
  <c r="C519" i="2"/>
  <c r="D519" i="2"/>
  <c r="E519" i="2"/>
  <c r="A520" i="2"/>
  <c r="B520" i="2"/>
  <c r="C520" i="2"/>
  <c r="D520" i="2"/>
  <c r="E520" i="2"/>
  <c r="A521" i="2"/>
  <c r="B521" i="2"/>
  <c r="C521" i="2"/>
  <c r="D521" i="2"/>
  <c r="E521" i="2"/>
  <c r="A522" i="2"/>
  <c r="B522" i="2"/>
  <c r="C522" i="2"/>
  <c r="D522" i="2"/>
  <c r="E522" i="2"/>
  <c r="A523" i="2"/>
  <c r="B523" i="2"/>
  <c r="C523" i="2"/>
  <c r="D523" i="2"/>
  <c r="E523" i="2"/>
  <c r="A524" i="2"/>
  <c r="B524" i="2"/>
  <c r="C524" i="2"/>
  <c r="D524" i="2"/>
  <c r="E524" i="2"/>
  <c r="A525" i="2"/>
  <c r="B525" i="2"/>
  <c r="C525" i="2"/>
  <c r="D525" i="2"/>
  <c r="E525" i="2"/>
  <c r="A526" i="2"/>
  <c r="B526" i="2"/>
  <c r="C526" i="2"/>
  <c r="D526" i="2"/>
  <c r="E526" i="2"/>
  <c r="A527" i="2"/>
  <c r="B527" i="2"/>
  <c r="C527" i="2"/>
  <c r="D527" i="2"/>
  <c r="E527" i="2"/>
  <c r="A528" i="2"/>
  <c r="B528" i="2"/>
  <c r="C528" i="2"/>
  <c r="D528" i="2"/>
  <c r="E528" i="2"/>
  <c r="A529" i="2"/>
  <c r="B529" i="2"/>
  <c r="C529" i="2"/>
  <c r="D529" i="2"/>
  <c r="E529" i="2"/>
  <c r="A530" i="2"/>
  <c r="B530" i="2"/>
  <c r="C530" i="2"/>
  <c r="D530" i="2"/>
  <c r="E530" i="2"/>
  <c r="A531" i="2"/>
  <c r="B531" i="2"/>
  <c r="C531" i="2"/>
  <c r="D531" i="2"/>
  <c r="E531" i="2"/>
  <c r="A532" i="2"/>
  <c r="B532" i="2"/>
  <c r="C532" i="2"/>
  <c r="D532" i="2"/>
  <c r="E532" i="2"/>
  <c r="A533" i="2"/>
  <c r="B533" i="2"/>
  <c r="C533" i="2"/>
  <c r="D533" i="2"/>
  <c r="E533" i="2"/>
  <c r="A534" i="2"/>
  <c r="B534" i="2"/>
  <c r="C534" i="2"/>
  <c r="D534" i="2"/>
  <c r="E534" i="2"/>
  <c r="A535" i="2"/>
  <c r="B535" i="2"/>
  <c r="C535" i="2"/>
  <c r="D535" i="2"/>
  <c r="E535" i="2"/>
  <c r="A536" i="2"/>
  <c r="B536" i="2"/>
  <c r="C536" i="2"/>
  <c r="D536" i="2"/>
  <c r="E536" i="2"/>
  <c r="A537" i="2"/>
  <c r="B537" i="2"/>
  <c r="C537" i="2"/>
  <c r="D537" i="2"/>
  <c r="E537" i="2"/>
  <c r="A538" i="2"/>
  <c r="B538" i="2"/>
  <c r="C538" i="2"/>
  <c r="D538" i="2"/>
  <c r="E538" i="2"/>
  <c r="A539" i="2"/>
  <c r="B539" i="2"/>
  <c r="C539" i="2"/>
  <c r="D539" i="2"/>
  <c r="E539" i="2"/>
  <c r="A540" i="2"/>
  <c r="B540" i="2"/>
  <c r="C540" i="2"/>
  <c r="D540" i="2"/>
  <c r="E540" i="2"/>
  <c r="A541" i="2"/>
  <c r="B541" i="2"/>
  <c r="C541" i="2"/>
  <c r="D541" i="2"/>
  <c r="E541" i="2"/>
  <c r="A542" i="2"/>
  <c r="B542" i="2"/>
  <c r="C542" i="2"/>
  <c r="D542" i="2"/>
  <c r="E542" i="2"/>
  <c r="A543" i="2"/>
  <c r="B543" i="2"/>
  <c r="C543" i="2"/>
  <c r="D543" i="2"/>
  <c r="E543" i="2"/>
  <c r="A544" i="2"/>
  <c r="B544" i="2"/>
  <c r="C544" i="2"/>
  <c r="D544" i="2"/>
  <c r="E544" i="2"/>
  <c r="A545" i="2"/>
  <c r="B545" i="2"/>
  <c r="C545" i="2"/>
  <c r="D545" i="2"/>
  <c r="E545" i="2"/>
  <c r="A546" i="2"/>
  <c r="B546" i="2"/>
  <c r="C546" i="2"/>
  <c r="D546" i="2"/>
  <c r="E546" i="2"/>
  <c r="A547" i="2"/>
  <c r="B547" i="2"/>
  <c r="C547" i="2"/>
  <c r="D547" i="2"/>
  <c r="E547" i="2"/>
  <c r="A548" i="2"/>
  <c r="B548" i="2"/>
  <c r="C548" i="2"/>
  <c r="D548" i="2"/>
  <c r="E548" i="2"/>
  <c r="A549" i="2"/>
  <c r="B549" i="2"/>
  <c r="C549" i="2"/>
  <c r="D549" i="2"/>
  <c r="E549" i="2"/>
  <c r="A550" i="2"/>
  <c r="B550" i="2"/>
  <c r="C550" i="2"/>
  <c r="D550" i="2"/>
  <c r="E550" i="2"/>
  <c r="A551" i="2"/>
  <c r="B551" i="2"/>
  <c r="C551" i="2"/>
  <c r="D551" i="2"/>
  <c r="E551" i="2"/>
  <c r="A552" i="2"/>
  <c r="B552" i="2"/>
  <c r="C552" i="2"/>
  <c r="D552" i="2"/>
  <c r="E552" i="2"/>
  <c r="A553" i="2"/>
  <c r="B553" i="2"/>
  <c r="C553" i="2"/>
  <c r="D553" i="2"/>
  <c r="E553" i="2"/>
  <c r="A554" i="2"/>
  <c r="B554" i="2"/>
  <c r="C554" i="2"/>
  <c r="D554" i="2"/>
  <c r="E554" i="2"/>
  <c r="A555" i="2"/>
  <c r="B555" i="2"/>
  <c r="C555" i="2"/>
  <c r="D555" i="2"/>
  <c r="E555" i="2"/>
  <c r="A556" i="2"/>
  <c r="B556" i="2"/>
  <c r="C556" i="2"/>
  <c r="D556" i="2"/>
  <c r="E556" i="2"/>
  <c r="A557" i="2"/>
  <c r="B557" i="2"/>
  <c r="C557" i="2"/>
  <c r="D557" i="2"/>
  <c r="E557" i="2"/>
  <c r="A558" i="2"/>
  <c r="B558" i="2"/>
  <c r="C558" i="2"/>
  <c r="D558" i="2"/>
  <c r="E558" i="2"/>
  <c r="A559" i="2"/>
  <c r="B559" i="2"/>
  <c r="C559" i="2"/>
  <c r="D559" i="2"/>
  <c r="E559" i="2"/>
  <c r="A560" i="2"/>
  <c r="B560" i="2"/>
  <c r="C560" i="2"/>
  <c r="D560" i="2"/>
  <c r="E560" i="2"/>
  <c r="A561" i="2"/>
  <c r="B561" i="2"/>
  <c r="C561" i="2"/>
  <c r="D561" i="2"/>
  <c r="E561" i="2"/>
  <c r="A562" i="2"/>
  <c r="B562" i="2"/>
  <c r="C562" i="2"/>
  <c r="D562" i="2"/>
  <c r="E562" i="2"/>
  <c r="A563" i="2"/>
  <c r="B563" i="2"/>
  <c r="C563" i="2"/>
  <c r="D563" i="2"/>
  <c r="E563" i="2"/>
  <c r="A564" i="2"/>
  <c r="B564" i="2"/>
  <c r="C564" i="2"/>
  <c r="D564" i="2"/>
  <c r="E564" i="2"/>
  <c r="A565" i="2"/>
  <c r="B565" i="2"/>
  <c r="C565" i="2"/>
  <c r="D565" i="2"/>
  <c r="E565" i="2"/>
  <c r="A566" i="2"/>
  <c r="B566" i="2"/>
  <c r="C566" i="2"/>
  <c r="D566" i="2"/>
  <c r="E566" i="2"/>
  <c r="A567" i="2"/>
  <c r="B567" i="2"/>
  <c r="C567" i="2"/>
  <c r="D567" i="2"/>
  <c r="E567" i="2"/>
  <c r="A568" i="2"/>
  <c r="B568" i="2"/>
  <c r="C568" i="2"/>
  <c r="D568" i="2"/>
  <c r="E568" i="2"/>
  <c r="A569" i="2"/>
  <c r="B569" i="2"/>
  <c r="C569" i="2"/>
  <c r="D569" i="2"/>
  <c r="E569" i="2"/>
  <c r="A570" i="2"/>
  <c r="B570" i="2"/>
  <c r="C570" i="2"/>
  <c r="D570" i="2"/>
  <c r="E570" i="2"/>
  <c r="A571" i="2"/>
  <c r="B571" i="2"/>
  <c r="C571" i="2"/>
  <c r="D571" i="2"/>
  <c r="E571" i="2"/>
  <c r="A572" i="2"/>
  <c r="B572" i="2"/>
  <c r="C572" i="2"/>
  <c r="D572" i="2"/>
  <c r="E572" i="2"/>
  <c r="A573" i="2"/>
  <c r="B573" i="2"/>
  <c r="C573" i="2"/>
  <c r="D573" i="2"/>
  <c r="E573" i="2"/>
  <c r="A574" i="2"/>
  <c r="B574" i="2"/>
  <c r="C574" i="2"/>
  <c r="D574" i="2"/>
  <c r="E574" i="2"/>
  <c r="A575" i="2"/>
  <c r="B575" i="2"/>
  <c r="C575" i="2"/>
  <c r="D575" i="2"/>
  <c r="E575" i="2"/>
  <c r="A576" i="2"/>
  <c r="B576" i="2"/>
  <c r="C576" i="2"/>
  <c r="D576" i="2"/>
  <c r="E576" i="2"/>
  <c r="A577" i="2"/>
  <c r="B577" i="2"/>
  <c r="C577" i="2"/>
  <c r="D577" i="2"/>
  <c r="E577" i="2"/>
  <c r="A578" i="2"/>
  <c r="B578" i="2"/>
  <c r="C578" i="2"/>
  <c r="D578" i="2"/>
  <c r="E578" i="2"/>
  <c r="A579" i="2"/>
  <c r="B579" i="2"/>
  <c r="C579" i="2"/>
  <c r="D579" i="2"/>
  <c r="E579" i="2"/>
  <c r="A580" i="2"/>
  <c r="B580" i="2"/>
  <c r="C580" i="2"/>
  <c r="D580" i="2"/>
  <c r="E580" i="2"/>
  <c r="A581" i="2"/>
  <c r="B581" i="2"/>
  <c r="C581" i="2"/>
  <c r="D581" i="2"/>
  <c r="E581" i="2"/>
  <c r="A582" i="2"/>
  <c r="B582" i="2"/>
  <c r="C582" i="2"/>
  <c r="D582" i="2"/>
  <c r="E582" i="2"/>
  <c r="A583" i="2"/>
  <c r="B583" i="2"/>
  <c r="C583" i="2"/>
  <c r="D583" i="2"/>
  <c r="E583" i="2"/>
  <c r="A584" i="2"/>
  <c r="B584" i="2"/>
  <c r="C584" i="2"/>
  <c r="D584" i="2"/>
  <c r="E584" i="2"/>
  <c r="A585" i="2"/>
  <c r="B585" i="2"/>
  <c r="C585" i="2"/>
  <c r="D585" i="2"/>
  <c r="E585" i="2"/>
  <c r="A586" i="2"/>
  <c r="B586" i="2"/>
  <c r="C586" i="2"/>
  <c r="D586" i="2"/>
  <c r="E586" i="2"/>
  <c r="A587" i="2"/>
  <c r="B587" i="2"/>
  <c r="C587" i="2"/>
  <c r="D587" i="2"/>
  <c r="E587" i="2"/>
  <c r="A588" i="2"/>
  <c r="B588" i="2"/>
  <c r="C588" i="2"/>
  <c r="D588" i="2"/>
  <c r="E588" i="2"/>
  <c r="A589" i="2"/>
  <c r="B589" i="2"/>
  <c r="C589" i="2"/>
  <c r="D589" i="2"/>
  <c r="E589" i="2"/>
  <c r="A590" i="2"/>
  <c r="B590" i="2"/>
  <c r="C590" i="2"/>
  <c r="D590" i="2"/>
  <c r="E590" i="2"/>
  <c r="A591" i="2"/>
  <c r="B591" i="2"/>
  <c r="C591" i="2"/>
  <c r="D591" i="2"/>
  <c r="E591" i="2"/>
  <c r="A592" i="2"/>
  <c r="B592" i="2"/>
  <c r="C592" i="2"/>
  <c r="D592" i="2"/>
  <c r="E592" i="2"/>
  <c r="A593" i="2"/>
  <c r="B593" i="2"/>
  <c r="C593" i="2"/>
  <c r="D593" i="2"/>
  <c r="E593" i="2"/>
  <c r="A594" i="2"/>
  <c r="B594" i="2"/>
  <c r="C594" i="2"/>
  <c r="D594" i="2"/>
  <c r="E594" i="2"/>
  <c r="A595" i="2"/>
  <c r="B595" i="2"/>
  <c r="C595" i="2"/>
  <c r="D595" i="2"/>
  <c r="E595" i="2"/>
  <c r="A596" i="2"/>
  <c r="B596" i="2"/>
  <c r="C596" i="2"/>
  <c r="D596" i="2"/>
  <c r="E596" i="2"/>
  <c r="A597" i="2"/>
  <c r="B597" i="2"/>
  <c r="C597" i="2"/>
  <c r="D597" i="2"/>
  <c r="E597" i="2"/>
  <c r="A598" i="2"/>
  <c r="B598" i="2"/>
  <c r="C598" i="2"/>
  <c r="D598" i="2"/>
  <c r="E598" i="2"/>
  <c r="A599" i="2"/>
  <c r="B599" i="2"/>
  <c r="C599" i="2"/>
  <c r="D599" i="2"/>
  <c r="E599" i="2"/>
  <c r="A600" i="2"/>
  <c r="B600" i="2"/>
  <c r="C600" i="2"/>
  <c r="D600" i="2"/>
  <c r="E600" i="2"/>
  <c r="A601" i="2"/>
  <c r="B601" i="2"/>
  <c r="C601" i="2"/>
  <c r="D601" i="2"/>
  <c r="E601" i="2"/>
  <c r="A602" i="2"/>
  <c r="B602" i="2"/>
  <c r="C602" i="2"/>
  <c r="D602" i="2"/>
  <c r="E602" i="2"/>
  <c r="A603" i="2"/>
  <c r="B603" i="2"/>
  <c r="C603" i="2"/>
  <c r="D603" i="2"/>
  <c r="E603" i="2"/>
  <c r="A604" i="2"/>
  <c r="B604" i="2"/>
  <c r="C604" i="2"/>
  <c r="D604" i="2"/>
  <c r="E604" i="2"/>
  <c r="A605" i="2"/>
  <c r="B605" i="2"/>
  <c r="C605" i="2"/>
  <c r="D605" i="2"/>
  <c r="E605" i="2"/>
  <c r="A606" i="2"/>
  <c r="B606" i="2"/>
  <c r="C606" i="2"/>
  <c r="D606" i="2"/>
  <c r="E606" i="2"/>
  <c r="A607" i="2"/>
  <c r="B607" i="2"/>
  <c r="C607" i="2"/>
  <c r="D607" i="2"/>
  <c r="E607" i="2"/>
  <c r="A608" i="2"/>
  <c r="B608" i="2"/>
  <c r="C608" i="2"/>
  <c r="D608" i="2"/>
  <c r="E608" i="2"/>
  <c r="A609" i="2"/>
  <c r="B609" i="2"/>
  <c r="C609" i="2"/>
  <c r="D609" i="2"/>
  <c r="E609" i="2"/>
  <c r="A610" i="2"/>
  <c r="B610" i="2"/>
  <c r="C610" i="2"/>
  <c r="D610" i="2"/>
  <c r="E610" i="2"/>
  <c r="A611" i="2"/>
  <c r="B611" i="2"/>
  <c r="C611" i="2"/>
  <c r="D611" i="2"/>
  <c r="E611" i="2"/>
  <c r="A612" i="2"/>
  <c r="B612" i="2"/>
  <c r="C612" i="2"/>
  <c r="D612" i="2"/>
  <c r="E612" i="2"/>
  <c r="A613" i="2"/>
  <c r="B613" i="2"/>
  <c r="C613" i="2"/>
  <c r="D613" i="2"/>
  <c r="E613" i="2"/>
  <c r="A614" i="2"/>
  <c r="B614" i="2"/>
  <c r="C614" i="2"/>
  <c r="D614" i="2"/>
  <c r="E614" i="2"/>
  <c r="A615" i="2"/>
  <c r="B615" i="2"/>
  <c r="C615" i="2"/>
  <c r="D615" i="2"/>
  <c r="E615" i="2"/>
  <c r="A616" i="2"/>
  <c r="B616" i="2"/>
  <c r="C616" i="2"/>
  <c r="D616" i="2"/>
  <c r="E616" i="2"/>
  <c r="A617" i="2"/>
  <c r="B617" i="2"/>
  <c r="C617" i="2"/>
  <c r="D617" i="2"/>
  <c r="E617" i="2"/>
  <c r="A618" i="2"/>
  <c r="B618" i="2"/>
  <c r="C618" i="2"/>
  <c r="D618" i="2"/>
  <c r="E618" i="2"/>
  <c r="A619" i="2"/>
  <c r="B619" i="2"/>
  <c r="C619" i="2"/>
  <c r="D619" i="2"/>
  <c r="E619" i="2"/>
  <c r="A620" i="2"/>
  <c r="B620" i="2"/>
  <c r="C620" i="2"/>
  <c r="D620" i="2"/>
  <c r="E620" i="2"/>
  <c r="A621" i="2"/>
  <c r="B621" i="2"/>
  <c r="C621" i="2"/>
  <c r="D621" i="2"/>
  <c r="E621" i="2"/>
  <c r="A622" i="2"/>
  <c r="B622" i="2"/>
  <c r="C622" i="2"/>
  <c r="D622" i="2"/>
  <c r="E622" i="2"/>
  <c r="A623" i="2"/>
  <c r="B623" i="2"/>
  <c r="C623" i="2"/>
  <c r="D623" i="2"/>
  <c r="E623" i="2"/>
  <c r="A624" i="2"/>
  <c r="B624" i="2"/>
  <c r="C624" i="2"/>
  <c r="D624" i="2"/>
  <c r="E624" i="2"/>
  <c r="A625" i="2"/>
  <c r="B625" i="2"/>
  <c r="C625" i="2"/>
  <c r="D625" i="2"/>
  <c r="E625" i="2"/>
  <c r="A626" i="2"/>
  <c r="B626" i="2"/>
  <c r="C626" i="2"/>
  <c r="D626" i="2"/>
  <c r="E626" i="2"/>
  <c r="A627" i="2"/>
  <c r="B627" i="2"/>
  <c r="C627" i="2"/>
  <c r="D627" i="2"/>
  <c r="E627" i="2"/>
  <c r="A628" i="2"/>
  <c r="B628" i="2"/>
  <c r="C628" i="2"/>
  <c r="D628" i="2"/>
  <c r="E628" i="2"/>
  <c r="A629" i="2"/>
  <c r="B629" i="2"/>
  <c r="C629" i="2"/>
  <c r="D629" i="2"/>
  <c r="E629" i="2"/>
  <c r="A630" i="2"/>
  <c r="B630" i="2"/>
  <c r="C630" i="2"/>
  <c r="D630" i="2"/>
  <c r="E630" i="2"/>
  <c r="A631" i="2"/>
  <c r="B631" i="2"/>
  <c r="C631" i="2"/>
  <c r="D631" i="2"/>
  <c r="E631" i="2"/>
  <c r="A632" i="2"/>
  <c r="B632" i="2"/>
  <c r="C632" i="2"/>
  <c r="D632" i="2"/>
  <c r="E632" i="2"/>
  <c r="A633" i="2"/>
  <c r="B633" i="2"/>
  <c r="C633" i="2"/>
  <c r="D633" i="2"/>
  <c r="E633" i="2"/>
  <c r="A634" i="2"/>
  <c r="B634" i="2"/>
  <c r="C634" i="2"/>
  <c r="D634" i="2"/>
  <c r="E634" i="2"/>
  <c r="A635" i="2"/>
  <c r="B635" i="2"/>
  <c r="C635" i="2"/>
  <c r="D635" i="2"/>
  <c r="E635" i="2"/>
  <c r="A636" i="2"/>
  <c r="B636" i="2"/>
  <c r="C636" i="2"/>
  <c r="D636" i="2"/>
  <c r="E636" i="2"/>
  <c r="A637" i="2"/>
  <c r="B637" i="2"/>
  <c r="C637" i="2"/>
  <c r="D637" i="2"/>
  <c r="E637" i="2"/>
  <c r="A638" i="2"/>
  <c r="B638" i="2"/>
  <c r="C638" i="2"/>
  <c r="D638" i="2"/>
  <c r="E638" i="2"/>
  <c r="A639" i="2"/>
  <c r="B639" i="2"/>
  <c r="C639" i="2"/>
  <c r="D639" i="2"/>
  <c r="E639" i="2"/>
  <c r="A640" i="2"/>
  <c r="B640" i="2"/>
  <c r="C640" i="2"/>
  <c r="D640" i="2"/>
  <c r="E640" i="2"/>
  <c r="A641" i="2"/>
  <c r="B641" i="2"/>
  <c r="C641" i="2"/>
  <c r="D641" i="2"/>
  <c r="E641" i="2"/>
  <c r="A642" i="2"/>
  <c r="B642" i="2"/>
  <c r="C642" i="2"/>
  <c r="D642" i="2"/>
  <c r="E642" i="2"/>
  <c r="A643" i="2"/>
  <c r="B643" i="2"/>
  <c r="C643" i="2"/>
  <c r="D643" i="2"/>
  <c r="E643" i="2"/>
  <c r="A644" i="2"/>
  <c r="B644" i="2"/>
  <c r="C644" i="2"/>
  <c r="D644" i="2"/>
  <c r="E644" i="2"/>
  <c r="A645" i="2"/>
  <c r="B645" i="2"/>
  <c r="C645" i="2"/>
  <c r="D645" i="2"/>
  <c r="E645" i="2"/>
  <c r="A646" i="2"/>
  <c r="B646" i="2"/>
  <c r="C646" i="2"/>
  <c r="D646" i="2"/>
  <c r="E646" i="2"/>
  <c r="A647" i="2"/>
  <c r="B647" i="2"/>
  <c r="C647" i="2"/>
  <c r="D647" i="2"/>
  <c r="E647" i="2"/>
  <c r="A648" i="2"/>
  <c r="B648" i="2"/>
  <c r="C648" i="2"/>
  <c r="D648" i="2"/>
  <c r="E648" i="2"/>
  <c r="A649" i="2"/>
  <c r="B649" i="2"/>
  <c r="C649" i="2"/>
  <c r="D649" i="2"/>
  <c r="E649" i="2"/>
  <c r="A650" i="2"/>
  <c r="B650" i="2"/>
  <c r="C650" i="2"/>
  <c r="D650" i="2"/>
  <c r="E650" i="2"/>
  <c r="A651" i="2"/>
  <c r="B651" i="2"/>
  <c r="C651" i="2"/>
  <c r="D651" i="2"/>
  <c r="E651" i="2"/>
  <c r="A652" i="2"/>
  <c r="B652" i="2"/>
  <c r="C652" i="2"/>
  <c r="D652" i="2"/>
  <c r="E652" i="2"/>
  <c r="A653" i="2"/>
  <c r="B653" i="2"/>
  <c r="C653" i="2"/>
  <c r="D653" i="2"/>
  <c r="E653" i="2"/>
  <c r="A654" i="2"/>
  <c r="B654" i="2"/>
  <c r="C654" i="2"/>
  <c r="D654" i="2"/>
  <c r="E654" i="2"/>
  <c r="A655" i="2"/>
  <c r="B655" i="2"/>
  <c r="C655" i="2"/>
  <c r="D655" i="2"/>
  <c r="E655" i="2"/>
  <c r="A656" i="2"/>
  <c r="B656" i="2"/>
  <c r="C656" i="2"/>
  <c r="D656" i="2"/>
  <c r="E656" i="2"/>
  <c r="A657" i="2"/>
  <c r="B657" i="2"/>
  <c r="C657" i="2"/>
  <c r="D657" i="2"/>
  <c r="E657" i="2"/>
  <c r="A658" i="2"/>
  <c r="B658" i="2"/>
  <c r="C658" i="2"/>
  <c r="D658" i="2"/>
  <c r="E658" i="2"/>
  <c r="A659" i="2"/>
  <c r="B659" i="2"/>
  <c r="C659" i="2"/>
  <c r="D659" i="2"/>
  <c r="E659" i="2"/>
  <c r="A660" i="2"/>
  <c r="B660" i="2"/>
  <c r="C660" i="2"/>
  <c r="D660" i="2"/>
  <c r="E660" i="2"/>
  <c r="A661" i="2"/>
  <c r="B661" i="2"/>
  <c r="C661" i="2"/>
  <c r="D661" i="2"/>
  <c r="E661" i="2"/>
  <c r="A662" i="2"/>
  <c r="B662" i="2"/>
  <c r="C662" i="2"/>
  <c r="D662" i="2"/>
  <c r="E662" i="2"/>
  <c r="A663" i="2"/>
  <c r="B663" i="2"/>
  <c r="C663" i="2"/>
  <c r="D663" i="2"/>
  <c r="E663" i="2"/>
  <c r="A664" i="2"/>
  <c r="B664" i="2"/>
  <c r="C664" i="2"/>
  <c r="D664" i="2"/>
  <c r="E664" i="2"/>
  <c r="A665" i="2"/>
  <c r="B665" i="2"/>
  <c r="C665" i="2"/>
  <c r="D665" i="2"/>
  <c r="E665" i="2"/>
  <c r="A666" i="2"/>
  <c r="B666" i="2"/>
  <c r="C666" i="2"/>
  <c r="D666" i="2"/>
  <c r="E666" i="2"/>
  <c r="A667" i="2"/>
  <c r="B667" i="2"/>
  <c r="C667" i="2"/>
  <c r="D667" i="2"/>
  <c r="E667" i="2"/>
  <c r="A668" i="2"/>
  <c r="B668" i="2"/>
  <c r="C668" i="2"/>
  <c r="D668" i="2"/>
  <c r="E668" i="2"/>
  <c r="A669" i="2"/>
  <c r="B669" i="2"/>
  <c r="C669" i="2"/>
  <c r="D669" i="2"/>
  <c r="E669" i="2"/>
  <c r="A670" i="2"/>
  <c r="B670" i="2"/>
  <c r="C670" i="2"/>
  <c r="D670" i="2"/>
  <c r="E670" i="2"/>
  <c r="A671" i="2"/>
  <c r="B671" i="2"/>
  <c r="C671" i="2"/>
  <c r="D671" i="2"/>
  <c r="E671" i="2"/>
  <c r="A672" i="2"/>
  <c r="B672" i="2"/>
  <c r="C672" i="2"/>
  <c r="D672" i="2"/>
  <c r="E672" i="2"/>
  <c r="A673" i="2"/>
  <c r="B673" i="2"/>
  <c r="C673" i="2"/>
  <c r="D673" i="2"/>
  <c r="E673" i="2"/>
  <c r="A674" i="2"/>
  <c r="B674" i="2"/>
  <c r="C674" i="2"/>
  <c r="D674" i="2"/>
  <c r="E674" i="2"/>
  <c r="A675" i="2"/>
  <c r="B675" i="2"/>
  <c r="C675" i="2"/>
  <c r="D675" i="2"/>
  <c r="E675" i="2"/>
  <c r="A676" i="2"/>
  <c r="B676" i="2"/>
  <c r="C676" i="2"/>
  <c r="D676" i="2"/>
  <c r="E676" i="2"/>
  <c r="A677" i="2"/>
  <c r="B677" i="2"/>
  <c r="C677" i="2"/>
  <c r="D677" i="2"/>
  <c r="E677" i="2"/>
  <c r="A678" i="2"/>
  <c r="B678" i="2"/>
  <c r="C678" i="2"/>
  <c r="D678" i="2"/>
  <c r="E678" i="2"/>
  <c r="A679" i="2"/>
  <c r="B679" i="2"/>
  <c r="C679" i="2"/>
  <c r="D679" i="2"/>
  <c r="E679" i="2"/>
  <c r="A680" i="2"/>
  <c r="B680" i="2"/>
  <c r="C680" i="2"/>
  <c r="D680" i="2"/>
  <c r="E680" i="2"/>
  <c r="A681" i="2"/>
  <c r="B681" i="2"/>
  <c r="C681" i="2"/>
  <c r="D681" i="2"/>
  <c r="E681" i="2"/>
  <c r="A682" i="2"/>
  <c r="B682" i="2"/>
  <c r="C682" i="2"/>
  <c r="D682" i="2"/>
  <c r="E682" i="2"/>
  <c r="A683" i="2"/>
  <c r="B683" i="2"/>
  <c r="C683" i="2"/>
  <c r="D683" i="2"/>
  <c r="E683" i="2"/>
  <c r="A684" i="2"/>
  <c r="B684" i="2"/>
  <c r="C684" i="2"/>
  <c r="D684" i="2"/>
  <c r="E684" i="2"/>
  <c r="A685" i="2"/>
  <c r="B685" i="2"/>
  <c r="C685" i="2"/>
  <c r="D685" i="2"/>
  <c r="E685" i="2"/>
  <c r="A686" i="2"/>
  <c r="B686" i="2"/>
  <c r="C686" i="2"/>
  <c r="D686" i="2"/>
  <c r="E686" i="2"/>
  <c r="A687" i="2"/>
  <c r="B687" i="2"/>
  <c r="C687" i="2"/>
  <c r="D687" i="2"/>
  <c r="E687" i="2"/>
  <c r="A688" i="2"/>
  <c r="B688" i="2"/>
  <c r="C688" i="2"/>
  <c r="D688" i="2"/>
  <c r="E688" i="2"/>
  <c r="A689" i="2"/>
  <c r="B689" i="2"/>
  <c r="C689" i="2"/>
  <c r="D689" i="2"/>
  <c r="E689" i="2"/>
  <c r="A690" i="2"/>
  <c r="B690" i="2"/>
  <c r="C690" i="2"/>
  <c r="D690" i="2"/>
  <c r="E690" i="2"/>
  <c r="A691" i="2"/>
  <c r="B691" i="2"/>
  <c r="C691" i="2"/>
  <c r="D691" i="2"/>
  <c r="E691" i="2"/>
  <c r="A692" i="2"/>
  <c r="B692" i="2"/>
  <c r="C692" i="2"/>
  <c r="D692" i="2"/>
  <c r="E692" i="2"/>
  <c r="A693" i="2"/>
  <c r="B693" i="2"/>
  <c r="C693" i="2"/>
  <c r="D693" i="2"/>
  <c r="E693" i="2"/>
  <c r="A694" i="2"/>
  <c r="B694" i="2"/>
  <c r="C694" i="2"/>
  <c r="D694" i="2"/>
  <c r="E694" i="2"/>
  <c r="A695" i="2"/>
  <c r="B695" i="2"/>
  <c r="C695" i="2"/>
  <c r="D695" i="2"/>
  <c r="E695" i="2"/>
  <c r="A696" i="2"/>
  <c r="B696" i="2"/>
  <c r="C696" i="2"/>
  <c r="D696" i="2"/>
  <c r="E696" i="2"/>
  <c r="A697" i="2"/>
  <c r="B697" i="2"/>
  <c r="C697" i="2"/>
  <c r="D697" i="2"/>
  <c r="E697" i="2"/>
  <c r="A698" i="2"/>
  <c r="B698" i="2"/>
  <c r="C698" i="2"/>
  <c r="D698" i="2"/>
  <c r="E698" i="2"/>
  <c r="A699" i="2"/>
  <c r="B699" i="2"/>
  <c r="C699" i="2"/>
  <c r="D699" i="2"/>
  <c r="E699" i="2"/>
  <c r="A700" i="2"/>
  <c r="B700" i="2"/>
  <c r="C700" i="2"/>
  <c r="D700" i="2"/>
  <c r="E700" i="2"/>
  <c r="A701" i="2"/>
  <c r="B701" i="2"/>
  <c r="C701" i="2"/>
  <c r="D701" i="2"/>
  <c r="E701" i="2"/>
  <c r="A702" i="2"/>
  <c r="B702" i="2"/>
  <c r="C702" i="2"/>
  <c r="D702" i="2"/>
  <c r="E702" i="2"/>
  <c r="A703" i="2"/>
  <c r="B703" i="2"/>
  <c r="C703" i="2"/>
  <c r="D703" i="2"/>
  <c r="E703" i="2"/>
  <c r="A704" i="2"/>
  <c r="B704" i="2"/>
  <c r="C704" i="2"/>
  <c r="D704" i="2"/>
  <c r="E704" i="2"/>
  <c r="A705" i="2"/>
  <c r="B705" i="2"/>
  <c r="C705" i="2"/>
  <c r="D705" i="2"/>
  <c r="E705" i="2"/>
  <c r="A706" i="2"/>
  <c r="B706" i="2"/>
  <c r="C706" i="2"/>
  <c r="D706" i="2"/>
  <c r="E706" i="2"/>
  <c r="A707" i="2"/>
  <c r="B707" i="2"/>
  <c r="C707" i="2"/>
  <c r="D707" i="2"/>
  <c r="E707" i="2"/>
  <c r="A708" i="2"/>
  <c r="B708" i="2"/>
  <c r="C708" i="2"/>
  <c r="D708" i="2"/>
  <c r="E708" i="2"/>
  <c r="A709" i="2"/>
  <c r="B709" i="2"/>
  <c r="C709" i="2"/>
  <c r="D709" i="2"/>
  <c r="E709" i="2"/>
  <c r="A710" i="2"/>
  <c r="B710" i="2"/>
  <c r="C710" i="2"/>
  <c r="D710" i="2"/>
  <c r="E710" i="2"/>
  <c r="A711" i="2"/>
  <c r="B711" i="2"/>
  <c r="C711" i="2"/>
  <c r="D711" i="2"/>
  <c r="E711" i="2"/>
  <c r="A712" i="2"/>
  <c r="B712" i="2"/>
  <c r="C712" i="2"/>
  <c r="D712" i="2"/>
  <c r="E712" i="2"/>
  <c r="A713" i="2"/>
  <c r="B713" i="2"/>
  <c r="C713" i="2"/>
  <c r="D713" i="2"/>
  <c r="E713" i="2"/>
  <c r="A714" i="2"/>
  <c r="B714" i="2"/>
  <c r="C714" i="2"/>
  <c r="D714" i="2"/>
  <c r="E714" i="2"/>
  <c r="A715" i="2"/>
  <c r="B715" i="2"/>
  <c r="C715" i="2"/>
  <c r="D715" i="2"/>
  <c r="E715" i="2"/>
  <c r="A716" i="2"/>
  <c r="B716" i="2"/>
  <c r="C716" i="2"/>
  <c r="D716" i="2"/>
  <c r="E716" i="2"/>
  <c r="A717" i="2"/>
  <c r="B717" i="2"/>
  <c r="C717" i="2"/>
  <c r="D717" i="2"/>
  <c r="E717" i="2"/>
  <c r="A718" i="2"/>
  <c r="B718" i="2"/>
  <c r="C718" i="2"/>
  <c r="D718" i="2"/>
  <c r="E718" i="2"/>
  <c r="A719" i="2"/>
  <c r="B719" i="2"/>
  <c r="C719" i="2"/>
  <c r="D719" i="2"/>
  <c r="E719" i="2"/>
  <c r="A720" i="2"/>
  <c r="B720" i="2"/>
  <c r="C720" i="2"/>
  <c r="D720" i="2"/>
  <c r="E720" i="2"/>
  <c r="A721" i="2"/>
  <c r="B721" i="2"/>
  <c r="C721" i="2"/>
  <c r="D721" i="2"/>
  <c r="E721" i="2"/>
  <c r="A722" i="2"/>
  <c r="B722" i="2"/>
  <c r="C722" i="2"/>
  <c r="D722" i="2"/>
  <c r="E722" i="2"/>
  <c r="A723" i="2"/>
  <c r="B723" i="2"/>
  <c r="C723" i="2"/>
  <c r="D723" i="2"/>
  <c r="E723" i="2"/>
  <c r="A724" i="2"/>
  <c r="B724" i="2"/>
  <c r="C724" i="2"/>
  <c r="D724" i="2"/>
  <c r="E724" i="2"/>
  <c r="A725" i="2"/>
  <c r="B725" i="2"/>
  <c r="C725" i="2"/>
  <c r="D725" i="2"/>
  <c r="E725" i="2"/>
  <c r="A726" i="2"/>
  <c r="B726" i="2"/>
  <c r="C726" i="2"/>
  <c r="D726" i="2"/>
  <c r="E726" i="2"/>
  <c r="A727" i="2"/>
  <c r="B727" i="2"/>
  <c r="C727" i="2"/>
  <c r="D727" i="2"/>
  <c r="E727" i="2"/>
  <c r="A728" i="2"/>
  <c r="B728" i="2"/>
  <c r="C728" i="2"/>
  <c r="D728" i="2"/>
  <c r="E728" i="2"/>
  <c r="A729" i="2"/>
  <c r="B729" i="2"/>
  <c r="C729" i="2"/>
  <c r="D729" i="2"/>
  <c r="E729" i="2"/>
  <c r="A730" i="2"/>
  <c r="B730" i="2"/>
  <c r="C730" i="2"/>
  <c r="D730" i="2"/>
  <c r="E730" i="2"/>
  <c r="A731" i="2"/>
  <c r="B731" i="2"/>
  <c r="C731" i="2"/>
  <c r="D731" i="2"/>
  <c r="E731" i="2"/>
  <c r="A732" i="2"/>
  <c r="B732" i="2"/>
  <c r="C732" i="2"/>
  <c r="D732" i="2"/>
  <c r="E732" i="2"/>
  <c r="A733" i="2"/>
  <c r="B733" i="2"/>
  <c r="C733" i="2"/>
  <c r="D733" i="2"/>
  <c r="E733" i="2"/>
  <c r="A734" i="2"/>
  <c r="B734" i="2"/>
  <c r="C734" i="2"/>
  <c r="D734" i="2"/>
  <c r="E734" i="2"/>
  <c r="A735" i="2"/>
  <c r="B735" i="2"/>
  <c r="C735" i="2"/>
  <c r="D735" i="2"/>
  <c r="E735" i="2"/>
  <c r="A736" i="2"/>
  <c r="B736" i="2"/>
  <c r="C736" i="2"/>
  <c r="D736" i="2"/>
  <c r="E736" i="2"/>
  <c r="A737" i="2"/>
  <c r="B737" i="2"/>
  <c r="C737" i="2"/>
  <c r="D737" i="2"/>
  <c r="E737" i="2"/>
  <c r="A738" i="2"/>
  <c r="B738" i="2"/>
  <c r="C738" i="2"/>
  <c r="D738" i="2"/>
  <c r="E738" i="2"/>
  <c r="A739" i="2"/>
  <c r="B739" i="2"/>
  <c r="C739" i="2"/>
  <c r="D739" i="2"/>
  <c r="E739" i="2"/>
  <c r="A740" i="2"/>
  <c r="B740" i="2"/>
  <c r="C740" i="2"/>
  <c r="D740" i="2"/>
  <c r="E740" i="2"/>
  <c r="A741" i="2"/>
  <c r="B741" i="2"/>
  <c r="C741" i="2"/>
  <c r="D741" i="2"/>
  <c r="E741" i="2"/>
  <c r="A742" i="2"/>
  <c r="B742" i="2"/>
  <c r="C742" i="2"/>
  <c r="D742" i="2"/>
  <c r="E742" i="2"/>
  <c r="A743" i="2"/>
  <c r="B743" i="2"/>
  <c r="C743" i="2"/>
  <c r="D743" i="2"/>
  <c r="E743" i="2"/>
  <c r="A744" i="2"/>
  <c r="B744" i="2"/>
  <c r="C744" i="2"/>
  <c r="D744" i="2"/>
  <c r="E744" i="2"/>
  <c r="A745" i="2"/>
  <c r="B745" i="2"/>
  <c r="C745" i="2"/>
  <c r="D745" i="2"/>
  <c r="E745" i="2"/>
  <c r="A746" i="2"/>
  <c r="B746" i="2"/>
  <c r="C746" i="2"/>
  <c r="D746" i="2"/>
  <c r="E746" i="2"/>
  <c r="A747" i="2"/>
  <c r="B747" i="2"/>
  <c r="C747" i="2"/>
  <c r="D747" i="2"/>
  <c r="E747" i="2"/>
  <c r="A748" i="2"/>
  <c r="B748" i="2"/>
  <c r="C748" i="2"/>
  <c r="D748" i="2"/>
  <c r="E748" i="2"/>
  <c r="A749" i="2"/>
  <c r="B749" i="2"/>
  <c r="C749" i="2"/>
  <c r="D749" i="2"/>
  <c r="E749" i="2"/>
  <c r="A750" i="2"/>
  <c r="B750" i="2"/>
  <c r="C750" i="2"/>
  <c r="D750" i="2"/>
  <c r="E750" i="2"/>
  <c r="A751" i="2"/>
  <c r="B751" i="2"/>
  <c r="C751" i="2"/>
  <c r="D751" i="2"/>
  <c r="E751" i="2"/>
  <c r="A752" i="2"/>
  <c r="B752" i="2"/>
  <c r="C752" i="2"/>
  <c r="D752" i="2"/>
  <c r="E752" i="2"/>
  <c r="A753" i="2"/>
  <c r="B753" i="2"/>
  <c r="C753" i="2"/>
  <c r="D753" i="2"/>
  <c r="E753" i="2"/>
  <c r="A754" i="2"/>
  <c r="B754" i="2"/>
  <c r="C754" i="2"/>
  <c r="D754" i="2"/>
  <c r="E754" i="2"/>
  <c r="A755" i="2"/>
  <c r="B755" i="2"/>
  <c r="C755" i="2"/>
  <c r="D755" i="2"/>
  <c r="E755" i="2"/>
  <c r="A756" i="2"/>
  <c r="B756" i="2"/>
  <c r="C756" i="2"/>
  <c r="D756" i="2"/>
  <c r="E756" i="2"/>
  <c r="A757" i="2"/>
  <c r="B757" i="2"/>
  <c r="C757" i="2"/>
  <c r="D757" i="2"/>
  <c r="E757" i="2"/>
  <c r="A758" i="2"/>
  <c r="B758" i="2"/>
  <c r="C758" i="2"/>
  <c r="D758" i="2"/>
  <c r="E758" i="2"/>
  <c r="A759" i="2"/>
  <c r="B759" i="2"/>
  <c r="C759" i="2"/>
  <c r="D759" i="2"/>
  <c r="E759" i="2"/>
  <c r="A760" i="2"/>
  <c r="B760" i="2"/>
  <c r="C760" i="2"/>
  <c r="D760" i="2"/>
  <c r="E760" i="2"/>
  <c r="A761" i="2"/>
  <c r="B761" i="2"/>
  <c r="C761" i="2"/>
  <c r="D761" i="2"/>
  <c r="E761" i="2"/>
  <c r="A762" i="2"/>
  <c r="B762" i="2"/>
  <c r="C762" i="2"/>
  <c r="D762" i="2"/>
  <c r="E762" i="2"/>
  <c r="A763" i="2"/>
  <c r="B763" i="2"/>
  <c r="C763" i="2"/>
  <c r="D763" i="2"/>
  <c r="E763" i="2"/>
  <c r="A764" i="2"/>
  <c r="B764" i="2"/>
  <c r="C764" i="2"/>
  <c r="D764" i="2"/>
  <c r="E764" i="2"/>
  <c r="A765" i="2"/>
  <c r="B765" i="2"/>
  <c r="C765" i="2"/>
  <c r="D765" i="2"/>
  <c r="E765" i="2"/>
  <c r="A766" i="2"/>
  <c r="B766" i="2"/>
  <c r="C766" i="2"/>
  <c r="D766" i="2"/>
  <c r="E766" i="2"/>
  <c r="A767" i="2"/>
  <c r="B767" i="2"/>
  <c r="C767" i="2"/>
  <c r="D767" i="2"/>
  <c r="E767" i="2"/>
  <c r="A768" i="2"/>
  <c r="B768" i="2"/>
  <c r="C768" i="2"/>
  <c r="D768" i="2"/>
  <c r="E768" i="2"/>
  <c r="A769" i="2"/>
  <c r="B769" i="2"/>
  <c r="C769" i="2"/>
  <c r="D769" i="2"/>
  <c r="E769" i="2"/>
  <c r="A770" i="2"/>
  <c r="B770" i="2"/>
  <c r="C770" i="2"/>
  <c r="D770" i="2"/>
  <c r="E770" i="2"/>
  <c r="A771" i="2"/>
  <c r="B771" i="2"/>
  <c r="C771" i="2"/>
  <c r="D771" i="2"/>
  <c r="E771" i="2"/>
  <c r="A772" i="2"/>
  <c r="B772" i="2"/>
  <c r="C772" i="2"/>
  <c r="D772" i="2"/>
  <c r="E772" i="2"/>
  <c r="A773" i="2"/>
  <c r="B773" i="2"/>
  <c r="C773" i="2"/>
  <c r="D773" i="2"/>
  <c r="E773" i="2"/>
  <c r="A774" i="2"/>
  <c r="B774" i="2"/>
  <c r="C774" i="2"/>
  <c r="D774" i="2"/>
  <c r="E774" i="2"/>
  <c r="A775" i="2"/>
  <c r="B775" i="2"/>
  <c r="C775" i="2"/>
  <c r="D775" i="2"/>
  <c r="E775" i="2"/>
  <c r="A776" i="2"/>
  <c r="B776" i="2"/>
  <c r="C776" i="2"/>
  <c r="D776" i="2"/>
  <c r="E776" i="2"/>
  <c r="A777" i="2"/>
  <c r="B777" i="2"/>
  <c r="C777" i="2"/>
  <c r="D777" i="2"/>
  <c r="E777" i="2"/>
  <c r="A778" i="2"/>
  <c r="B778" i="2"/>
  <c r="C778" i="2"/>
  <c r="D778" i="2"/>
  <c r="E778" i="2"/>
  <c r="A779" i="2"/>
  <c r="B779" i="2"/>
  <c r="C779" i="2"/>
  <c r="D779" i="2"/>
  <c r="E779" i="2"/>
  <c r="A780" i="2"/>
  <c r="B780" i="2"/>
  <c r="C780" i="2"/>
  <c r="D780" i="2"/>
  <c r="E780" i="2"/>
  <c r="A781" i="2"/>
  <c r="B781" i="2"/>
  <c r="C781" i="2"/>
  <c r="D781" i="2"/>
  <c r="E781" i="2"/>
  <c r="A782" i="2"/>
  <c r="B782" i="2"/>
  <c r="C782" i="2"/>
  <c r="D782" i="2"/>
  <c r="E782" i="2"/>
  <c r="A783" i="2"/>
  <c r="B783" i="2"/>
  <c r="C783" i="2"/>
  <c r="D783" i="2"/>
  <c r="E783" i="2"/>
  <c r="A784" i="2"/>
  <c r="B784" i="2"/>
  <c r="C784" i="2"/>
  <c r="D784" i="2"/>
  <c r="E784" i="2"/>
  <c r="A785" i="2"/>
  <c r="B785" i="2"/>
  <c r="C785" i="2"/>
  <c r="D785" i="2"/>
  <c r="E785" i="2"/>
  <c r="A786" i="2"/>
  <c r="B786" i="2"/>
  <c r="C786" i="2"/>
  <c r="D786" i="2"/>
  <c r="E786" i="2"/>
  <c r="A787" i="2"/>
  <c r="B787" i="2"/>
  <c r="C787" i="2"/>
  <c r="D787" i="2"/>
  <c r="E787" i="2"/>
  <c r="A788" i="2"/>
  <c r="B788" i="2"/>
  <c r="C788" i="2"/>
  <c r="D788" i="2"/>
  <c r="E788" i="2"/>
  <c r="A789" i="2"/>
  <c r="B789" i="2"/>
  <c r="C789" i="2"/>
  <c r="D789" i="2"/>
  <c r="E789" i="2"/>
  <c r="A790" i="2"/>
  <c r="B790" i="2"/>
  <c r="C790" i="2"/>
  <c r="D790" i="2"/>
  <c r="E790" i="2"/>
  <c r="A791" i="2"/>
  <c r="B791" i="2"/>
  <c r="C791" i="2"/>
  <c r="D791" i="2"/>
  <c r="E791" i="2"/>
  <c r="A792" i="2"/>
  <c r="B792" i="2"/>
  <c r="C792" i="2"/>
  <c r="D792" i="2"/>
  <c r="E792" i="2"/>
  <c r="A793" i="2"/>
  <c r="B793" i="2"/>
  <c r="C793" i="2"/>
  <c r="D793" i="2"/>
  <c r="E793" i="2"/>
  <c r="A794" i="2"/>
  <c r="B794" i="2"/>
  <c r="C794" i="2"/>
  <c r="D794" i="2"/>
  <c r="E794" i="2"/>
  <c r="A795" i="2"/>
  <c r="B795" i="2"/>
  <c r="C795" i="2"/>
  <c r="D795" i="2"/>
  <c r="E795" i="2"/>
  <c r="A796" i="2"/>
  <c r="B796" i="2"/>
  <c r="C796" i="2"/>
  <c r="D796" i="2"/>
  <c r="E796" i="2"/>
  <c r="A797" i="2"/>
  <c r="B797" i="2"/>
  <c r="C797" i="2"/>
  <c r="D797" i="2"/>
  <c r="E797" i="2"/>
  <c r="A798" i="2"/>
  <c r="B798" i="2"/>
  <c r="C798" i="2"/>
  <c r="D798" i="2"/>
  <c r="E798" i="2"/>
  <c r="A799" i="2"/>
  <c r="B799" i="2"/>
  <c r="C799" i="2"/>
  <c r="D799" i="2"/>
  <c r="E799" i="2"/>
  <c r="A800" i="2"/>
  <c r="B800" i="2"/>
  <c r="C800" i="2"/>
  <c r="D800" i="2"/>
  <c r="E800" i="2"/>
  <c r="A801" i="2"/>
  <c r="B801" i="2"/>
  <c r="C801" i="2"/>
  <c r="D801" i="2"/>
  <c r="E801" i="2"/>
  <c r="A802" i="2"/>
  <c r="B802" i="2"/>
  <c r="C802" i="2"/>
  <c r="D802" i="2"/>
  <c r="E802" i="2"/>
  <c r="A803" i="2"/>
  <c r="B803" i="2"/>
  <c r="C803" i="2"/>
  <c r="D803" i="2"/>
  <c r="E803" i="2"/>
  <c r="A804" i="2"/>
  <c r="B804" i="2"/>
  <c r="C804" i="2"/>
  <c r="D804" i="2"/>
  <c r="E804" i="2"/>
  <c r="A805" i="2"/>
  <c r="B805" i="2"/>
  <c r="C805" i="2"/>
  <c r="D805" i="2"/>
  <c r="E805" i="2"/>
  <c r="A806" i="2"/>
  <c r="B806" i="2"/>
  <c r="C806" i="2"/>
  <c r="D806" i="2"/>
  <c r="E806" i="2"/>
  <c r="A807" i="2"/>
  <c r="B807" i="2"/>
  <c r="C807" i="2"/>
  <c r="D807" i="2"/>
  <c r="E807" i="2"/>
  <c r="A808" i="2"/>
  <c r="B808" i="2"/>
  <c r="C808" i="2"/>
  <c r="D808" i="2"/>
  <c r="E808" i="2"/>
  <c r="A809" i="2"/>
  <c r="B809" i="2"/>
  <c r="C809" i="2"/>
  <c r="D809" i="2"/>
  <c r="E809" i="2"/>
  <c r="A810" i="2"/>
  <c r="B810" i="2"/>
  <c r="C810" i="2"/>
  <c r="D810" i="2"/>
  <c r="E810" i="2"/>
  <c r="A811" i="2"/>
  <c r="B811" i="2"/>
  <c r="C811" i="2"/>
  <c r="D811" i="2"/>
  <c r="E811" i="2"/>
  <c r="A812" i="2"/>
  <c r="B812" i="2"/>
  <c r="C812" i="2"/>
  <c r="D812" i="2"/>
  <c r="E812" i="2"/>
  <c r="A813" i="2"/>
  <c r="B813" i="2"/>
  <c r="C813" i="2"/>
  <c r="D813" i="2"/>
  <c r="E813" i="2"/>
  <c r="A814" i="2"/>
  <c r="B814" i="2"/>
  <c r="C814" i="2"/>
  <c r="D814" i="2"/>
  <c r="E814" i="2"/>
  <c r="A815" i="2"/>
  <c r="B815" i="2"/>
  <c r="C815" i="2"/>
  <c r="D815" i="2"/>
  <c r="E815" i="2"/>
  <c r="A816" i="2"/>
  <c r="B816" i="2"/>
  <c r="C816" i="2"/>
  <c r="D816" i="2"/>
  <c r="E816" i="2"/>
  <c r="A817" i="2"/>
  <c r="B817" i="2"/>
  <c r="C817" i="2"/>
  <c r="D817" i="2"/>
  <c r="E817" i="2"/>
  <c r="A818" i="2"/>
  <c r="B818" i="2"/>
  <c r="C818" i="2"/>
  <c r="D818" i="2"/>
  <c r="E818" i="2"/>
  <c r="A819" i="2"/>
  <c r="B819" i="2"/>
  <c r="C819" i="2"/>
  <c r="D819" i="2"/>
  <c r="E819" i="2"/>
  <c r="A820" i="2"/>
  <c r="B820" i="2"/>
  <c r="C820" i="2"/>
  <c r="D820" i="2"/>
  <c r="E820" i="2"/>
  <c r="A821" i="2"/>
  <c r="B821" i="2"/>
  <c r="C821" i="2"/>
  <c r="D821" i="2"/>
  <c r="E821" i="2"/>
  <c r="A822" i="2"/>
  <c r="B822" i="2"/>
  <c r="C822" i="2"/>
  <c r="D822" i="2"/>
  <c r="E822" i="2"/>
  <c r="A823" i="2"/>
  <c r="B823" i="2"/>
  <c r="C823" i="2"/>
  <c r="D823" i="2"/>
  <c r="E823" i="2"/>
  <c r="A824" i="2"/>
  <c r="B824" i="2"/>
  <c r="C824" i="2"/>
  <c r="D824" i="2"/>
  <c r="E824" i="2"/>
  <c r="A825" i="2"/>
  <c r="B825" i="2"/>
  <c r="C825" i="2"/>
  <c r="D825" i="2"/>
  <c r="E825" i="2"/>
  <c r="A826" i="2"/>
  <c r="B826" i="2"/>
  <c r="C826" i="2"/>
  <c r="D826" i="2"/>
  <c r="E826" i="2"/>
  <c r="A827" i="2"/>
  <c r="B827" i="2"/>
  <c r="C827" i="2"/>
  <c r="D827" i="2"/>
  <c r="E827" i="2"/>
  <c r="A828" i="2"/>
  <c r="B828" i="2"/>
  <c r="C828" i="2"/>
  <c r="D828" i="2"/>
  <c r="E828" i="2"/>
  <c r="A829" i="2"/>
  <c r="B829" i="2"/>
  <c r="C829" i="2"/>
  <c r="D829" i="2"/>
  <c r="E829" i="2"/>
  <c r="A830" i="2"/>
  <c r="B830" i="2"/>
  <c r="C830" i="2"/>
  <c r="D830" i="2"/>
  <c r="E830" i="2"/>
  <c r="A831" i="2"/>
  <c r="B831" i="2"/>
  <c r="C831" i="2"/>
  <c r="D831" i="2"/>
  <c r="E831" i="2"/>
  <c r="A832" i="2"/>
  <c r="B832" i="2"/>
  <c r="C832" i="2"/>
  <c r="D832" i="2"/>
  <c r="E832" i="2"/>
  <c r="A833" i="2"/>
  <c r="B833" i="2"/>
  <c r="C833" i="2"/>
  <c r="D833" i="2"/>
  <c r="E833" i="2"/>
  <c r="A834" i="2"/>
  <c r="B834" i="2"/>
  <c r="C834" i="2"/>
  <c r="D834" i="2"/>
  <c r="E834" i="2"/>
  <c r="A835" i="2"/>
  <c r="B835" i="2"/>
  <c r="C835" i="2"/>
  <c r="D835" i="2"/>
  <c r="E835" i="2"/>
  <c r="A836" i="2"/>
  <c r="B836" i="2"/>
  <c r="C836" i="2"/>
  <c r="D836" i="2"/>
  <c r="E836" i="2"/>
  <c r="A837" i="2"/>
  <c r="B837" i="2"/>
  <c r="C837" i="2"/>
  <c r="D837" i="2"/>
  <c r="E837" i="2"/>
  <c r="A838" i="2"/>
  <c r="B838" i="2"/>
  <c r="C838" i="2"/>
  <c r="D838" i="2"/>
  <c r="E838" i="2"/>
  <c r="A839" i="2"/>
  <c r="B839" i="2"/>
  <c r="C839" i="2"/>
  <c r="D839" i="2"/>
  <c r="E839" i="2"/>
  <c r="A840" i="2"/>
  <c r="B840" i="2"/>
  <c r="C840" i="2"/>
  <c r="D840" i="2"/>
  <c r="E840" i="2"/>
  <c r="A841" i="2"/>
  <c r="B841" i="2"/>
  <c r="C841" i="2"/>
  <c r="D841" i="2"/>
  <c r="E841" i="2"/>
  <c r="A842" i="2"/>
  <c r="B842" i="2"/>
  <c r="C842" i="2"/>
  <c r="D842" i="2"/>
  <c r="E842" i="2"/>
  <c r="A843" i="2"/>
  <c r="B843" i="2"/>
  <c r="C843" i="2"/>
  <c r="D843" i="2"/>
  <c r="E843" i="2"/>
  <c r="A844" i="2"/>
  <c r="B844" i="2"/>
  <c r="C844" i="2"/>
  <c r="D844" i="2"/>
  <c r="E844" i="2"/>
  <c r="A845" i="2"/>
  <c r="B845" i="2"/>
  <c r="C845" i="2"/>
  <c r="D845" i="2"/>
  <c r="E845" i="2"/>
  <c r="A846" i="2"/>
  <c r="B846" i="2"/>
  <c r="C846" i="2"/>
  <c r="D846" i="2"/>
  <c r="E846" i="2"/>
  <c r="A847" i="2"/>
  <c r="B847" i="2"/>
  <c r="C847" i="2"/>
  <c r="D847" i="2"/>
  <c r="E847" i="2"/>
  <c r="A848" i="2"/>
  <c r="B848" i="2"/>
  <c r="C848" i="2"/>
  <c r="D848" i="2"/>
  <c r="E848" i="2"/>
  <c r="A849" i="2"/>
  <c r="B849" i="2"/>
  <c r="C849" i="2"/>
  <c r="D849" i="2"/>
  <c r="E849" i="2"/>
  <c r="A850" i="2"/>
  <c r="B850" i="2"/>
  <c r="C850" i="2"/>
  <c r="D850" i="2"/>
  <c r="E850" i="2"/>
  <c r="A851" i="2"/>
  <c r="B851" i="2"/>
  <c r="C851" i="2"/>
  <c r="D851" i="2"/>
  <c r="E851" i="2"/>
  <c r="A852" i="2"/>
  <c r="B852" i="2"/>
  <c r="C852" i="2"/>
  <c r="D852" i="2"/>
  <c r="E852" i="2"/>
  <c r="A853" i="2"/>
  <c r="B853" i="2"/>
  <c r="C853" i="2"/>
  <c r="D853" i="2"/>
  <c r="E853" i="2"/>
  <c r="A854" i="2"/>
  <c r="B854" i="2"/>
  <c r="C854" i="2"/>
  <c r="D854" i="2"/>
  <c r="E854" i="2"/>
  <c r="A855" i="2"/>
  <c r="B855" i="2"/>
  <c r="C855" i="2"/>
  <c r="D855" i="2"/>
  <c r="E855" i="2"/>
  <c r="A856" i="2"/>
  <c r="B856" i="2"/>
  <c r="C856" i="2"/>
  <c r="D856" i="2"/>
  <c r="E856" i="2"/>
  <c r="A857" i="2"/>
  <c r="B857" i="2"/>
  <c r="C857" i="2"/>
  <c r="D857" i="2"/>
  <c r="E857" i="2"/>
  <c r="A858" i="2"/>
  <c r="B858" i="2"/>
  <c r="C858" i="2"/>
  <c r="D858" i="2"/>
  <c r="E858" i="2"/>
  <c r="A859" i="2"/>
  <c r="B859" i="2"/>
  <c r="C859" i="2"/>
  <c r="D859" i="2"/>
  <c r="E859" i="2"/>
  <c r="A860" i="2"/>
  <c r="B860" i="2"/>
  <c r="C860" i="2"/>
  <c r="D860" i="2"/>
  <c r="E860" i="2"/>
  <c r="A861" i="2"/>
  <c r="B861" i="2"/>
  <c r="C861" i="2"/>
  <c r="D861" i="2"/>
  <c r="E861" i="2"/>
  <c r="A862" i="2"/>
  <c r="B862" i="2"/>
  <c r="C862" i="2"/>
  <c r="D862" i="2"/>
  <c r="E862" i="2"/>
  <c r="A863" i="2"/>
  <c r="B863" i="2"/>
  <c r="C863" i="2"/>
  <c r="D863" i="2"/>
  <c r="E863" i="2"/>
  <c r="A864" i="2"/>
  <c r="B864" i="2"/>
  <c r="C864" i="2"/>
  <c r="D864" i="2"/>
  <c r="E864" i="2"/>
  <c r="A865" i="2"/>
  <c r="B865" i="2"/>
  <c r="C865" i="2"/>
  <c r="D865" i="2"/>
  <c r="E865" i="2"/>
  <c r="A866" i="2"/>
  <c r="B866" i="2"/>
  <c r="C866" i="2"/>
  <c r="D866" i="2"/>
  <c r="E866" i="2"/>
  <c r="A867" i="2"/>
  <c r="B867" i="2"/>
  <c r="C867" i="2"/>
  <c r="D867" i="2"/>
  <c r="E867" i="2"/>
  <c r="A868" i="2"/>
  <c r="B868" i="2"/>
  <c r="C868" i="2"/>
  <c r="D868" i="2"/>
  <c r="E868" i="2"/>
  <c r="A869" i="2"/>
  <c r="B869" i="2"/>
  <c r="C869" i="2"/>
  <c r="D869" i="2"/>
  <c r="E869" i="2"/>
  <c r="A870" i="2"/>
  <c r="B870" i="2"/>
  <c r="C870" i="2"/>
  <c r="D870" i="2"/>
  <c r="E870" i="2"/>
  <c r="A871" i="2"/>
  <c r="B871" i="2"/>
  <c r="C871" i="2"/>
  <c r="D871" i="2"/>
  <c r="E871" i="2"/>
  <c r="A872" i="2"/>
  <c r="B872" i="2"/>
  <c r="C872" i="2"/>
  <c r="D872" i="2"/>
  <c r="E872" i="2"/>
  <c r="A873" i="2"/>
  <c r="B873" i="2"/>
  <c r="C873" i="2"/>
  <c r="D873" i="2"/>
  <c r="E873" i="2"/>
  <c r="A874" i="2"/>
  <c r="B874" i="2"/>
  <c r="C874" i="2"/>
  <c r="D874" i="2"/>
  <c r="E874" i="2"/>
  <c r="A875" i="2"/>
  <c r="B875" i="2"/>
  <c r="C875" i="2"/>
  <c r="D875" i="2"/>
  <c r="E875" i="2"/>
  <c r="A876" i="2"/>
  <c r="B876" i="2"/>
  <c r="C876" i="2"/>
  <c r="D876" i="2"/>
  <c r="E876" i="2"/>
  <c r="A877" i="2"/>
  <c r="B877" i="2"/>
  <c r="C877" i="2"/>
  <c r="D877" i="2"/>
  <c r="E877" i="2"/>
  <c r="A878" i="2"/>
  <c r="B878" i="2"/>
  <c r="C878" i="2"/>
  <c r="D878" i="2"/>
  <c r="E878" i="2"/>
  <c r="A879" i="2"/>
  <c r="B879" i="2"/>
  <c r="C879" i="2"/>
  <c r="D879" i="2"/>
  <c r="E879" i="2"/>
  <c r="A880" i="2"/>
  <c r="B880" i="2"/>
  <c r="C880" i="2"/>
  <c r="D880" i="2"/>
  <c r="E880" i="2"/>
  <c r="A881" i="2"/>
  <c r="B881" i="2"/>
  <c r="C881" i="2"/>
  <c r="D881" i="2"/>
  <c r="E881" i="2"/>
  <c r="A882" i="2"/>
  <c r="B882" i="2"/>
  <c r="C882" i="2"/>
  <c r="D882" i="2"/>
  <c r="E882" i="2"/>
  <c r="A883" i="2"/>
  <c r="B883" i="2"/>
  <c r="C883" i="2"/>
  <c r="D883" i="2"/>
  <c r="E883" i="2"/>
  <c r="A884" i="2"/>
  <c r="B884" i="2"/>
  <c r="C884" i="2"/>
  <c r="D884" i="2"/>
  <c r="E884" i="2"/>
  <c r="A885" i="2"/>
  <c r="B885" i="2"/>
  <c r="C885" i="2"/>
  <c r="D885" i="2"/>
  <c r="E885" i="2"/>
  <c r="A886" i="2"/>
  <c r="B886" i="2"/>
  <c r="C886" i="2"/>
  <c r="D886" i="2"/>
  <c r="E886" i="2"/>
  <c r="A887" i="2"/>
  <c r="B887" i="2"/>
  <c r="C887" i="2"/>
  <c r="D887" i="2"/>
  <c r="E887" i="2"/>
  <c r="A888" i="2"/>
  <c r="B888" i="2"/>
  <c r="C888" i="2"/>
  <c r="D888" i="2"/>
  <c r="E888" i="2"/>
  <c r="A889" i="2"/>
  <c r="B889" i="2"/>
  <c r="C889" i="2"/>
  <c r="D889" i="2"/>
  <c r="E889" i="2"/>
  <c r="A890" i="2"/>
  <c r="B890" i="2"/>
  <c r="C890" i="2"/>
  <c r="D890" i="2"/>
  <c r="E890" i="2"/>
  <c r="A891" i="2"/>
  <c r="B891" i="2"/>
  <c r="C891" i="2"/>
  <c r="D891" i="2"/>
  <c r="E891" i="2"/>
  <c r="A892" i="2"/>
  <c r="B892" i="2"/>
  <c r="C892" i="2"/>
  <c r="D892" i="2"/>
  <c r="E892" i="2"/>
  <c r="A893" i="2"/>
  <c r="B893" i="2"/>
  <c r="C893" i="2"/>
  <c r="D893" i="2"/>
  <c r="E893" i="2"/>
  <c r="A894" i="2"/>
  <c r="B894" i="2"/>
  <c r="C894" i="2"/>
  <c r="D894" i="2"/>
  <c r="E894" i="2"/>
  <c r="A895" i="2"/>
  <c r="B895" i="2"/>
  <c r="C895" i="2"/>
  <c r="D895" i="2"/>
  <c r="E895" i="2"/>
  <c r="A896" i="2"/>
  <c r="B896" i="2"/>
  <c r="C896" i="2"/>
  <c r="D896" i="2"/>
  <c r="E896" i="2"/>
  <c r="A897" i="2"/>
  <c r="B897" i="2"/>
  <c r="C897" i="2"/>
  <c r="D897" i="2"/>
  <c r="E897" i="2"/>
  <c r="A898" i="2"/>
  <c r="B898" i="2"/>
  <c r="C898" i="2"/>
  <c r="D898" i="2"/>
  <c r="E898" i="2"/>
  <c r="A899" i="2"/>
  <c r="B899" i="2"/>
  <c r="C899" i="2"/>
  <c r="D899" i="2"/>
  <c r="E899" i="2"/>
  <c r="A900" i="2"/>
  <c r="B900" i="2"/>
  <c r="C900" i="2"/>
  <c r="D900" i="2"/>
  <c r="E900" i="2"/>
  <c r="A901" i="2"/>
  <c r="B901" i="2"/>
  <c r="C901" i="2"/>
  <c r="D901" i="2"/>
  <c r="E901" i="2"/>
  <c r="A902" i="2"/>
  <c r="B902" i="2"/>
  <c r="C902" i="2"/>
  <c r="D902" i="2"/>
  <c r="E902" i="2"/>
  <c r="A903" i="2"/>
  <c r="B903" i="2"/>
  <c r="C903" i="2"/>
  <c r="D903" i="2"/>
  <c r="E903" i="2"/>
  <c r="A904" i="2"/>
  <c r="B904" i="2"/>
  <c r="C904" i="2"/>
  <c r="D904" i="2"/>
  <c r="E904" i="2"/>
  <c r="A905" i="2"/>
  <c r="B905" i="2"/>
  <c r="C905" i="2"/>
  <c r="D905" i="2"/>
  <c r="E905" i="2"/>
  <c r="A906" i="2"/>
  <c r="B906" i="2"/>
  <c r="C906" i="2"/>
  <c r="D906" i="2"/>
  <c r="E906" i="2"/>
  <c r="A907" i="2"/>
  <c r="B907" i="2"/>
  <c r="C907" i="2"/>
  <c r="D907" i="2"/>
  <c r="E907" i="2"/>
  <c r="A908" i="2"/>
  <c r="B908" i="2"/>
  <c r="C908" i="2"/>
  <c r="D908" i="2"/>
  <c r="E908" i="2"/>
  <c r="A909" i="2"/>
  <c r="B909" i="2"/>
  <c r="C909" i="2"/>
  <c r="D909" i="2"/>
  <c r="E909" i="2"/>
  <c r="A910" i="2"/>
  <c r="B910" i="2"/>
  <c r="C910" i="2"/>
  <c r="D910" i="2"/>
  <c r="E910" i="2"/>
  <c r="A911" i="2"/>
  <c r="B911" i="2"/>
  <c r="C911" i="2"/>
  <c r="D911" i="2"/>
  <c r="E911" i="2"/>
  <c r="A912" i="2"/>
  <c r="B912" i="2"/>
  <c r="C912" i="2"/>
  <c r="D912" i="2"/>
  <c r="E912" i="2"/>
  <c r="A913" i="2"/>
  <c r="B913" i="2"/>
  <c r="C913" i="2"/>
  <c r="D913" i="2"/>
  <c r="E913" i="2"/>
  <c r="A914" i="2"/>
  <c r="B914" i="2"/>
  <c r="C914" i="2"/>
  <c r="D914" i="2"/>
  <c r="E914" i="2"/>
  <c r="A915" i="2"/>
  <c r="B915" i="2"/>
  <c r="C915" i="2"/>
  <c r="D915" i="2"/>
  <c r="E915" i="2"/>
  <c r="A916" i="2"/>
  <c r="B916" i="2"/>
  <c r="C916" i="2"/>
  <c r="D916" i="2"/>
  <c r="E916" i="2"/>
  <c r="A917" i="2"/>
  <c r="B917" i="2"/>
  <c r="C917" i="2"/>
  <c r="D917" i="2"/>
  <c r="E917" i="2"/>
  <c r="A918" i="2"/>
  <c r="B918" i="2"/>
  <c r="C918" i="2"/>
  <c r="D918" i="2"/>
  <c r="E918" i="2"/>
  <c r="A919" i="2"/>
  <c r="B919" i="2"/>
  <c r="C919" i="2"/>
  <c r="D919" i="2"/>
  <c r="E919" i="2"/>
  <c r="A920" i="2"/>
  <c r="B920" i="2"/>
  <c r="C920" i="2"/>
  <c r="D920" i="2"/>
  <c r="E920" i="2"/>
  <c r="A921" i="2"/>
  <c r="B921" i="2"/>
  <c r="C921" i="2"/>
  <c r="D921" i="2"/>
  <c r="E921" i="2"/>
  <c r="A922" i="2"/>
  <c r="B922" i="2"/>
  <c r="C922" i="2"/>
  <c r="D922" i="2"/>
  <c r="E922" i="2"/>
  <c r="A923" i="2"/>
  <c r="B923" i="2"/>
  <c r="C923" i="2"/>
  <c r="D923" i="2"/>
  <c r="E923" i="2"/>
  <c r="A924" i="2"/>
  <c r="B924" i="2"/>
  <c r="C924" i="2"/>
  <c r="D924" i="2"/>
  <c r="E924" i="2"/>
  <c r="A925" i="2"/>
  <c r="B925" i="2"/>
  <c r="C925" i="2"/>
  <c r="D925" i="2"/>
  <c r="E925" i="2"/>
  <c r="A926" i="2"/>
  <c r="B926" i="2"/>
  <c r="C926" i="2"/>
  <c r="D926" i="2"/>
  <c r="E926" i="2"/>
  <c r="A927" i="2"/>
  <c r="B927" i="2"/>
  <c r="C927" i="2"/>
  <c r="D927" i="2"/>
  <c r="E927" i="2"/>
  <c r="A928" i="2"/>
  <c r="B928" i="2"/>
  <c r="C928" i="2"/>
  <c r="D928" i="2"/>
  <c r="E928" i="2"/>
  <c r="A929" i="2"/>
  <c r="B929" i="2"/>
  <c r="C929" i="2"/>
  <c r="D929" i="2"/>
  <c r="E929" i="2"/>
  <c r="A930" i="2"/>
  <c r="B930" i="2"/>
  <c r="C930" i="2"/>
  <c r="D930" i="2"/>
  <c r="E930" i="2"/>
  <c r="A931" i="2"/>
  <c r="B931" i="2"/>
  <c r="C931" i="2"/>
  <c r="D931" i="2"/>
  <c r="E931" i="2"/>
  <c r="A932" i="2"/>
  <c r="B932" i="2"/>
  <c r="C932" i="2"/>
  <c r="D932" i="2"/>
  <c r="E932" i="2"/>
  <c r="A933" i="2"/>
  <c r="B933" i="2"/>
  <c r="C933" i="2"/>
  <c r="D933" i="2"/>
  <c r="E933" i="2"/>
  <c r="A934" i="2"/>
  <c r="B934" i="2"/>
  <c r="C934" i="2"/>
  <c r="D934" i="2"/>
  <c r="E934" i="2"/>
  <c r="A935" i="2"/>
  <c r="B935" i="2"/>
  <c r="C935" i="2"/>
  <c r="D935" i="2"/>
  <c r="E935" i="2"/>
  <c r="A936" i="2"/>
  <c r="B936" i="2"/>
  <c r="C936" i="2"/>
  <c r="D936" i="2"/>
  <c r="E936" i="2"/>
  <c r="A937" i="2"/>
  <c r="B937" i="2"/>
  <c r="C937" i="2"/>
  <c r="D937" i="2"/>
  <c r="E937" i="2"/>
  <c r="A938" i="2"/>
  <c r="B938" i="2"/>
  <c r="C938" i="2"/>
  <c r="D938" i="2"/>
  <c r="E938" i="2"/>
  <c r="A939" i="2"/>
  <c r="B939" i="2"/>
  <c r="C939" i="2"/>
  <c r="D939" i="2"/>
  <c r="E939" i="2"/>
  <c r="A940" i="2"/>
  <c r="B940" i="2"/>
  <c r="C940" i="2"/>
  <c r="D940" i="2"/>
  <c r="E940" i="2"/>
  <c r="A941" i="2"/>
  <c r="B941" i="2"/>
  <c r="C941" i="2"/>
  <c r="D941" i="2"/>
  <c r="E941" i="2"/>
  <c r="A942" i="2"/>
  <c r="B942" i="2"/>
  <c r="C942" i="2"/>
  <c r="D942" i="2"/>
  <c r="E942" i="2"/>
  <c r="A943" i="2"/>
  <c r="B943" i="2"/>
  <c r="C943" i="2"/>
  <c r="D943" i="2"/>
  <c r="E943" i="2"/>
  <c r="A944" i="2"/>
  <c r="B944" i="2"/>
  <c r="C944" i="2"/>
  <c r="D944" i="2"/>
  <c r="E944" i="2"/>
  <c r="A945" i="2"/>
  <c r="B945" i="2"/>
  <c r="C945" i="2"/>
  <c r="D945" i="2"/>
  <c r="E945" i="2"/>
  <c r="A946" i="2"/>
  <c r="B946" i="2"/>
  <c r="C946" i="2"/>
  <c r="D946" i="2"/>
  <c r="E946" i="2"/>
  <c r="A947" i="2"/>
  <c r="B947" i="2"/>
  <c r="C947" i="2"/>
  <c r="D947" i="2"/>
  <c r="E947" i="2"/>
  <c r="A948" i="2"/>
  <c r="B948" i="2"/>
  <c r="C948" i="2"/>
  <c r="D948" i="2"/>
  <c r="E948" i="2"/>
  <c r="A949" i="2"/>
  <c r="B949" i="2"/>
  <c r="C949" i="2"/>
  <c r="D949" i="2"/>
  <c r="E949" i="2"/>
  <c r="A950" i="2"/>
  <c r="B950" i="2"/>
  <c r="C950" i="2"/>
  <c r="D950" i="2"/>
  <c r="E950" i="2"/>
  <c r="A951" i="2"/>
  <c r="B951" i="2"/>
  <c r="C951" i="2"/>
  <c r="D951" i="2"/>
  <c r="E951" i="2"/>
  <c r="A952" i="2"/>
  <c r="B952" i="2"/>
  <c r="C952" i="2"/>
  <c r="D952" i="2"/>
  <c r="E952" i="2"/>
  <c r="A953" i="2"/>
  <c r="B953" i="2"/>
  <c r="C953" i="2"/>
  <c r="D953" i="2"/>
  <c r="E953" i="2"/>
  <c r="A954" i="2"/>
  <c r="B954" i="2"/>
  <c r="C954" i="2"/>
  <c r="D954" i="2"/>
  <c r="E954" i="2"/>
  <c r="A955" i="2"/>
  <c r="B955" i="2"/>
  <c r="C955" i="2"/>
  <c r="D955" i="2"/>
  <c r="E955" i="2"/>
  <c r="A956" i="2"/>
  <c r="B956" i="2"/>
  <c r="C956" i="2"/>
  <c r="D956" i="2"/>
  <c r="E956" i="2"/>
  <c r="A957" i="2"/>
  <c r="B957" i="2"/>
  <c r="C957" i="2"/>
  <c r="D957" i="2"/>
  <c r="E957" i="2"/>
  <c r="A958" i="2"/>
  <c r="B958" i="2"/>
  <c r="C958" i="2"/>
  <c r="D958" i="2"/>
  <c r="E958" i="2"/>
  <c r="A959" i="2"/>
  <c r="B959" i="2"/>
  <c r="C959" i="2"/>
  <c r="D959" i="2"/>
  <c r="E959" i="2"/>
  <c r="A960" i="2"/>
  <c r="B960" i="2"/>
  <c r="C960" i="2"/>
  <c r="D960" i="2"/>
  <c r="E960" i="2"/>
  <c r="A961" i="2"/>
  <c r="B961" i="2"/>
  <c r="C961" i="2"/>
  <c r="D961" i="2"/>
  <c r="E961" i="2"/>
  <c r="A962" i="2"/>
  <c r="B962" i="2"/>
  <c r="C962" i="2"/>
  <c r="D962" i="2"/>
  <c r="E962" i="2"/>
  <c r="A963" i="2"/>
  <c r="B963" i="2"/>
  <c r="C963" i="2"/>
  <c r="D963" i="2"/>
  <c r="E963" i="2"/>
  <c r="A964" i="2"/>
  <c r="B964" i="2"/>
  <c r="C964" i="2"/>
  <c r="D964" i="2"/>
  <c r="E964" i="2"/>
  <c r="A965" i="2"/>
  <c r="B965" i="2"/>
  <c r="C965" i="2"/>
  <c r="D965" i="2"/>
  <c r="E965" i="2"/>
  <c r="A966" i="2"/>
  <c r="B966" i="2"/>
  <c r="C966" i="2"/>
  <c r="D966" i="2"/>
  <c r="E966" i="2"/>
  <c r="A967" i="2"/>
  <c r="B967" i="2"/>
  <c r="C967" i="2"/>
  <c r="D967" i="2"/>
  <c r="E967" i="2"/>
  <c r="A968" i="2"/>
  <c r="B968" i="2"/>
  <c r="C968" i="2"/>
  <c r="D968" i="2"/>
  <c r="E968" i="2"/>
  <c r="A969" i="2"/>
  <c r="B969" i="2"/>
  <c r="C969" i="2"/>
  <c r="D969" i="2"/>
  <c r="E969" i="2"/>
  <c r="A970" i="2"/>
  <c r="B970" i="2"/>
  <c r="C970" i="2"/>
  <c r="D970" i="2"/>
  <c r="E970" i="2"/>
  <c r="A971" i="2"/>
  <c r="B971" i="2"/>
  <c r="C971" i="2"/>
  <c r="D971" i="2"/>
  <c r="E971" i="2"/>
  <c r="A972" i="2"/>
  <c r="B972" i="2"/>
  <c r="C972" i="2"/>
  <c r="D972" i="2"/>
  <c r="E972" i="2"/>
  <c r="A973" i="2"/>
  <c r="B973" i="2"/>
  <c r="C973" i="2"/>
  <c r="D973" i="2"/>
  <c r="E973" i="2"/>
  <c r="A974" i="2"/>
  <c r="B974" i="2"/>
  <c r="C974" i="2"/>
  <c r="D974" i="2"/>
  <c r="E974" i="2"/>
  <c r="A975" i="2"/>
  <c r="B975" i="2"/>
  <c r="C975" i="2"/>
  <c r="D975" i="2"/>
  <c r="E975" i="2"/>
  <c r="A976" i="2"/>
  <c r="B976" i="2"/>
  <c r="C976" i="2"/>
  <c r="D976" i="2"/>
  <c r="E976" i="2"/>
  <c r="A977" i="2"/>
  <c r="B977" i="2"/>
  <c r="C977" i="2"/>
  <c r="D977" i="2"/>
  <c r="E977" i="2"/>
  <c r="A978" i="2"/>
  <c r="B978" i="2"/>
  <c r="C978" i="2"/>
  <c r="D978" i="2"/>
  <c r="E978" i="2"/>
  <c r="A979" i="2"/>
  <c r="B979" i="2"/>
  <c r="C979" i="2"/>
  <c r="D979" i="2"/>
  <c r="E979" i="2"/>
  <c r="A980" i="2"/>
  <c r="B980" i="2"/>
  <c r="C980" i="2"/>
  <c r="D980" i="2"/>
  <c r="E980" i="2"/>
  <c r="A981" i="2"/>
  <c r="B981" i="2"/>
  <c r="C981" i="2"/>
  <c r="D981" i="2"/>
  <c r="E981" i="2"/>
  <c r="A982" i="2"/>
  <c r="B982" i="2"/>
  <c r="C982" i="2"/>
  <c r="D982" i="2"/>
  <c r="E982" i="2"/>
  <c r="A983" i="2"/>
  <c r="B983" i="2"/>
  <c r="C983" i="2"/>
  <c r="D983" i="2"/>
  <c r="E983" i="2"/>
  <c r="A984" i="2"/>
  <c r="B984" i="2"/>
  <c r="C984" i="2"/>
  <c r="D984" i="2"/>
  <c r="E984" i="2"/>
  <c r="A985" i="2"/>
  <c r="B985" i="2"/>
  <c r="C985" i="2"/>
  <c r="D985" i="2"/>
  <c r="E985" i="2"/>
  <c r="A986" i="2"/>
  <c r="B986" i="2"/>
  <c r="C986" i="2"/>
  <c r="D986" i="2"/>
  <c r="E986" i="2"/>
  <c r="A987" i="2"/>
  <c r="B987" i="2"/>
  <c r="C987" i="2"/>
  <c r="D987" i="2"/>
  <c r="E987" i="2"/>
  <c r="A988" i="2"/>
  <c r="B988" i="2"/>
  <c r="C988" i="2"/>
  <c r="D988" i="2"/>
  <c r="E988" i="2"/>
  <c r="A989" i="2"/>
  <c r="B989" i="2"/>
  <c r="C989" i="2"/>
  <c r="D989" i="2"/>
  <c r="E989" i="2"/>
  <c r="A990" i="2"/>
  <c r="B990" i="2"/>
  <c r="C990" i="2"/>
  <c r="D990" i="2"/>
  <c r="E990" i="2"/>
  <c r="A991" i="2"/>
  <c r="B991" i="2"/>
  <c r="C991" i="2"/>
  <c r="D991" i="2"/>
  <c r="E991" i="2"/>
  <c r="A992" i="2"/>
  <c r="B992" i="2"/>
  <c r="C992" i="2"/>
  <c r="D992" i="2"/>
  <c r="E992" i="2"/>
  <c r="A993" i="2"/>
  <c r="B993" i="2"/>
  <c r="C993" i="2"/>
  <c r="D993" i="2"/>
  <c r="E993" i="2"/>
  <c r="A994" i="2"/>
  <c r="B994" i="2"/>
  <c r="C994" i="2"/>
  <c r="D994" i="2"/>
  <c r="E994" i="2"/>
  <c r="A995" i="2"/>
  <c r="B995" i="2"/>
  <c r="C995" i="2"/>
  <c r="D995" i="2"/>
  <c r="E995" i="2"/>
  <c r="A996" i="2"/>
  <c r="B996" i="2"/>
  <c r="C996" i="2"/>
  <c r="D996" i="2"/>
  <c r="E996" i="2"/>
  <c r="A997" i="2"/>
  <c r="B997" i="2"/>
  <c r="C997" i="2"/>
  <c r="D997" i="2"/>
  <c r="E997" i="2"/>
  <c r="A998" i="2"/>
  <c r="B998" i="2"/>
  <c r="C998" i="2"/>
  <c r="D998" i="2"/>
  <c r="E998" i="2"/>
  <c r="A999" i="2"/>
  <c r="B999" i="2"/>
  <c r="C999" i="2"/>
  <c r="D999" i="2"/>
  <c r="E999" i="2"/>
  <c r="A1000" i="2"/>
  <c r="B1000" i="2"/>
  <c r="C1000" i="2"/>
  <c r="D1000" i="2"/>
  <c r="E1000" i="2"/>
  <c r="A1001" i="2"/>
  <c r="B1001" i="2"/>
  <c r="C1001" i="2"/>
  <c r="D1001" i="2"/>
  <c r="E1001" i="2"/>
  <c r="A2" i="2"/>
  <c r="B2" i="2"/>
  <c r="C2" i="2"/>
  <c r="D2" i="2"/>
  <c r="E2" i="2"/>
  <c r="J36" i="2"/>
  <c r="K36" i="2" s="1"/>
  <c r="J46" i="2"/>
  <c r="K46" i="2" s="1"/>
  <c r="J54" i="2"/>
  <c r="K54" i="2" s="1"/>
  <c r="J62" i="2"/>
  <c r="K62" i="2" s="1"/>
  <c r="J94" i="2"/>
  <c r="K94" i="2" s="1"/>
  <c r="J100" i="2"/>
  <c r="K100" i="2" s="1"/>
  <c r="J110" i="2"/>
  <c r="K110" i="2" s="1"/>
  <c r="J118" i="2"/>
  <c r="K118" i="2" s="1"/>
  <c r="J126" i="2"/>
  <c r="K126" i="2" s="1"/>
  <c r="J172" i="2"/>
  <c r="K172" i="2" s="1"/>
  <c r="J174" i="2"/>
  <c r="K174" i="2" s="1"/>
  <c r="J181" i="2"/>
  <c r="K181" i="2" s="1"/>
  <c r="J182" i="2"/>
  <c r="K182" i="2" s="1"/>
  <c r="J184" i="2"/>
  <c r="K184" i="2" s="1"/>
  <c r="J198" i="2"/>
  <c r="K198" i="2" s="1"/>
  <c r="J206" i="2"/>
  <c r="K206" i="2" s="1"/>
  <c r="J208" i="2"/>
  <c r="K208" i="2" s="1"/>
  <c r="J228" i="2"/>
  <c r="K228" i="2" s="1"/>
  <c r="J238" i="2"/>
  <c r="K238" i="2" s="1"/>
  <c r="J245" i="2"/>
  <c r="K245" i="2" s="1"/>
  <c r="J246" i="2"/>
  <c r="K246" i="2" s="1"/>
  <c r="J262" i="2"/>
  <c r="K262" i="2" s="1"/>
  <c r="J264" i="2"/>
  <c r="K264" i="2" s="1"/>
  <c r="J265" i="2"/>
  <c r="K265" i="2" s="1"/>
  <c r="J266" i="2"/>
  <c r="K266" i="2" s="1"/>
  <c r="J292" i="2"/>
  <c r="K292" i="2" s="1"/>
  <c r="J293" i="2"/>
  <c r="K293" i="2" s="1"/>
  <c r="J318" i="2"/>
  <c r="K318" i="2" s="1"/>
  <c r="J320" i="2"/>
  <c r="K320" i="2" s="1"/>
  <c r="J321" i="2"/>
  <c r="K321" i="2" s="1"/>
  <c r="J326" i="2"/>
  <c r="K326" i="2" s="1"/>
  <c r="J344" i="2"/>
  <c r="K344" i="2" s="1"/>
  <c r="J352" i="2"/>
  <c r="K352" i="2" s="1"/>
  <c r="J353" i="2"/>
  <c r="K353" i="2" s="1"/>
  <c r="J408" i="2"/>
  <c r="K408" i="2" s="1"/>
  <c r="J412" i="2"/>
  <c r="K412" i="2" s="1"/>
  <c r="J428" i="2"/>
  <c r="K428" i="2" s="1"/>
  <c r="J452" i="2"/>
  <c r="K452" i="2" s="1"/>
  <c r="J456" i="2"/>
  <c r="K456" i="2" s="1"/>
  <c r="J476" i="2"/>
  <c r="K476" i="2" s="1"/>
  <c r="J480" i="2"/>
  <c r="K480" i="2" s="1"/>
  <c r="J481" i="2"/>
  <c r="K481" i="2" s="1"/>
  <c r="J482" i="2"/>
  <c r="K482" i="2" s="1"/>
  <c r="J492" i="2"/>
  <c r="K492" i="2" s="1"/>
  <c r="J496" i="2"/>
  <c r="K496" i="2" s="1"/>
  <c r="J504" i="2"/>
  <c r="K504" i="2" s="1"/>
  <c r="J505" i="2"/>
  <c r="K505" i="2" s="1"/>
  <c r="J528" i="2"/>
  <c r="K528" i="2" s="1"/>
  <c r="J529" i="2"/>
  <c r="K529" i="2" s="1"/>
  <c r="J530" i="2"/>
  <c r="K530" i="2" s="1"/>
  <c r="J540" i="2"/>
  <c r="K540" i="2" s="1"/>
  <c r="J552" i="2"/>
  <c r="K552" i="2" s="1"/>
  <c r="J553" i="2"/>
  <c r="K553" i="2" s="1"/>
  <c r="J592" i="2"/>
  <c r="K592" i="2" s="1"/>
  <c r="J593" i="2"/>
  <c r="K593" i="2" s="1"/>
  <c r="J594" i="2"/>
  <c r="K594" i="2" s="1"/>
  <c r="J604" i="2"/>
  <c r="K604" i="2" s="1"/>
  <c r="J616" i="2"/>
  <c r="K616" i="2" s="1"/>
  <c r="J620" i="2"/>
  <c r="K620" i="2" s="1"/>
  <c r="J632" i="2"/>
  <c r="K632" i="2" s="1"/>
  <c r="J633" i="2"/>
  <c r="K633" i="2" s="1"/>
  <c r="J634" i="2"/>
  <c r="K634" i="2" s="1"/>
  <c r="J644" i="2"/>
  <c r="K644" i="2" s="1"/>
  <c r="J656" i="2"/>
  <c r="K656" i="2" s="1"/>
  <c r="J657" i="2"/>
  <c r="K657" i="2" s="1"/>
  <c r="J668" i="2"/>
  <c r="K668" i="2" s="1"/>
  <c r="J672" i="2"/>
  <c r="K672" i="2" s="1"/>
  <c r="J673" i="2"/>
  <c r="K673" i="2" s="1"/>
  <c r="J674" i="2"/>
  <c r="K674" i="2" s="1"/>
  <c r="J684" i="2"/>
  <c r="K684" i="2" s="1"/>
  <c r="J688" i="2"/>
  <c r="K688" i="2" s="1"/>
  <c r="J696" i="2"/>
  <c r="K696" i="2" s="1"/>
  <c r="J697" i="2"/>
  <c r="K697" i="2" s="1"/>
  <c r="J708" i="2"/>
  <c r="K708" i="2" s="1"/>
  <c r="J712" i="2"/>
  <c r="K712" i="2" s="1"/>
  <c r="J713" i="2"/>
  <c r="K713" i="2" s="1"/>
  <c r="J720" i="2"/>
  <c r="K720" i="2" s="1"/>
  <c r="J724" i="2"/>
  <c r="K724" i="2" s="1"/>
  <c r="J736" i="2"/>
  <c r="K736" i="2" s="1"/>
  <c r="J737" i="2"/>
  <c r="K737" i="2" s="1"/>
  <c r="J738" i="2"/>
  <c r="K738" i="2" s="1"/>
  <c r="J760" i="2"/>
  <c r="K760" i="2" s="1"/>
  <c r="J761" i="2"/>
  <c r="K761" i="2" s="1"/>
  <c r="J762" i="2"/>
  <c r="K762" i="2" s="1"/>
  <c r="J784" i="2"/>
  <c r="K784" i="2" s="1"/>
  <c r="J785" i="2"/>
  <c r="K785" i="2" s="1"/>
  <c r="J786" i="2"/>
  <c r="K786" i="2" s="1"/>
  <c r="J808" i="2"/>
  <c r="K808" i="2" s="1"/>
  <c r="J809" i="2"/>
  <c r="K809" i="2" s="1"/>
  <c r="J832" i="2"/>
  <c r="K832" i="2" s="1"/>
  <c r="J840" i="2"/>
  <c r="K840" i="2" s="1"/>
  <c r="J856" i="2"/>
  <c r="K856" i="2" s="1"/>
  <c r="J860" i="2"/>
  <c r="K860" i="2" s="1"/>
  <c r="J876" i="2"/>
  <c r="K876" i="2" s="1"/>
  <c r="J900" i="2"/>
  <c r="K900" i="2" s="1"/>
  <c r="J916" i="2"/>
  <c r="K916" i="2" s="1"/>
  <c r="J920" i="2"/>
  <c r="K920" i="2" s="1"/>
  <c r="J936" i="2"/>
  <c r="K936" i="2" s="1"/>
  <c r="J937" i="2"/>
  <c r="K937" i="2" s="1"/>
  <c r="J938" i="2"/>
  <c r="K938" i="2" s="1"/>
  <c r="J960" i="2"/>
  <c r="K960" i="2" s="1"/>
  <c r="J984" i="2"/>
  <c r="K984" i="2" s="1"/>
  <c r="J1000" i="2"/>
  <c r="K1000" i="2" s="1"/>
  <c r="J1001" i="2"/>
  <c r="K1001" i="2" s="1"/>
  <c r="I3" i="2"/>
  <c r="J3" i="2" s="1"/>
  <c r="K3" i="2" s="1"/>
  <c r="I4" i="2"/>
  <c r="J4" i="2" s="1"/>
  <c r="K4" i="2" s="1"/>
  <c r="I5" i="2"/>
  <c r="J5" i="2" s="1"/>
  <c r="K5" i="2" s="1"/>
  <c r="I6" i="2"/>
  <c r="J6" i="2" s="1"/>
  <c r="K6" i="2" s="1"/>
  <c r="I7" i="2"/>
  <c r="J7" i="2" s="1"/>
  <c r="K7" i="2" s="1"/>
  <c r="I8" i="2"/>
  <c r="J8" i="2" s="1"/>
  <c r="K8" i="2" s="1"/>
  <c r="I9" i="2"/>
  <c r="J9" i="2" s="1"/>
  <c r="K9" i="2" s="1"/>
  <c r="I10" i="2"/>
  <c r="J10" i="2" s="1"/>
  <c r="K10" i="2" s="1"/>
  <c r="I11" i="2"/>
  <c r="J11" i="2" s="1"/>
  <c r="K11" i="2" s="1"/>
  <c r="I12" i="2"/>
  <c r="J12" i="2" s="1"/>
  <c r="K12" i="2" s="1"/>
  <c r="I13" i="2"/>
  <c r="J13" i="2" s="1"/>
  <c r="K13" i="2" s="1"/>
  <c r="I14" i="2"/>
  <c r="J14" i="2" s="1"/>
  <c r="K14" i="2" s="1"/>
  <c r="I15" i="2"/>
  <c r="J15" i="2" s="1"/>
  <c r="K15" i="2" s="1"/>
  <c r="I16" i="2"/>
  <c r="J16" i="2" s="1"/>
  <c r="K16" i="2" s="1"/>
  <c r="I17" i="2"/>
  <c r="J17" i="2" s="1"/>
  <c r="K17" i="2" s="1"/>
  <c r="I18" i="2"/>
  <c r="J18" i="2" s="1"/>
  <c r="K18" i="2" s="1"/>
  <c r="I19" i="2"/>
  <c r="J19" i="2" s="1"/>
  <c r="K19" i="2" s="1"/>
  <c r="I20" i="2"/>
  <c r="J20" i="2" s="1"/>
  <c r="K20" i="2" s="1"/>
  <c r="I21" i="2"/>
  <c r="J21" i="2" s="1"/>
  <c r="K21" i="2" s="1"/>
  <c r="I22" i="2"/>
  <c r="J22" i="2" s="1"/>
  <c r="K22" i="2" s="1"/>
  <c r="I23" i="2"/>
  <c r="J23" i="2" s="1"/>
  <c r="K23" i="2" s="1"/>
  <c r="I24" i="2"/>
  <c r="J24" i="2" s="1"/>
  <c r="K24" i="2" s="1"/>
  <c r="I25" i="2"/>
  <c r="J25" i="2" s="1"/>
  <c r="K25" i="2" s="1"/>
  <c r="I26" i="2"/>
  <c r="J26" i="2" s="1"/>
  <c r="K26" i="2" s="1"/>
  <c r="I27" i="2"/>
  <c r="J27" i="2" s="1"/>
  <c r="K27" i="2" s="1"/>
  <c r="I28" i="2"/>
  <c r="J28" i="2" s="1"/>
  <c r="K28" i="2" s="1"/>
  <c r="I29" i="2"/>
  <c r="J29" i="2" s="1"/>
  <c r="K29" i="2" s="1"/>
  <c r="I30" i="2"/>
  <c r="J30" i="2" s="1"/>
  <c r="K30" i="2" s="1"/>
  <c r="I31" i="2"/>
  <c r="J31" i="2" s="1"/>
  <c r="K31" i="2" s="1"/>
  <c r="I32" i="2"/>
  <c r="J32" i="2" s="1"/>
  <c r="K32" i="2" s="1"/>
  <c r="I33" i="2"/>
  <c r="J33" i="2" s="1"/>
  <c r="K33" i="2" s="1"/>
  <c r="I34" i="2"/>
  <c r="J34" i="2" s="1"/>
  <c r="K34" i="2" s="1"/>
  <c r="I35" i="2"/>
  <c r="J35" i="2" s="1"/>
  <c r="K35" i="2" s="1"/>
  <c r="I36" i="2"/>
  <c r="I37" i="2"/>
  <c r="J37" i="2" s="1"/>
  <c r="K37" i="2" s="1"/>
  <c r="I38" i="2"/>
  <c r="J38" i="2" s="1"/>
  <c r="K38" i="2" s="1"/>
  <c r="I39" i="2"/>
  <c r="J39" i="2" s="1"/>
  <c r="K39" i="2" s="1"/>
  <c r="I40" i="2"/>
  <c r="J40" i="2" s="1"/>
  <c r="K40" i="2" s="1"/>
  <c r="I41" i="2"/>
  <c r="J41" i="2" s="1"/>
  <c r="K41" i="2" s="1"/>
  <c r="I42" i="2"/>
  <c r="J42" i="2" s="1"/>
  <c r="K42" i="2" s="1"/>
  <c r="I43" i="2"/>
  <c r="J43" i="2" s="1"/>
  <c r="K43" i="2" s="1"/>
  <c r="I44" i="2"/>
  <c r="J44" i="2" s="1"/>
  <c r="K44" i="2" s="1"/>
  <c r="I45" i="2"/>
  <c r="J45" i="2" s="1"/>
  <c r="K45" i="2" s="1"/>
  <c r="I46" i="2"/>
  <c r="I47" i="2"/>
  <c r="J47" i="2" s="1"/>
  <c r="K47" i="2" s="1"/>
  <c r="I48" i="2"/>
  <c r="J48" i="2" s="1"/>
  <c r="K48" i="2" s="1"/>
  <c r="I49" i="2"/>
  <c r="J49" i="2" s="1"/>
  <c r="K49" i="2" s="1"/>
  <c r="I50" i="2"/>
  <c r="J50" i="2" s="1"/>
  <c r="K50" i="2" s="1"/>
  <c r="I51" i="2"/>
  <c r="J51" i="2" s="1"/>
  <c r="K51" i="2" s="1"/>
  <c r="I52" i="2"/>
  <c r="J52" i="2" s="1"/>
  <c r="K52" i="2" s="1"/>
  <c r="I53" i="2"/>
  <c r="J53" i="2" s="1"/>
  <c r="K53" i="2" s="1"/>
  <c r="I54" i="2"/>
  <c r="I55" i="2"/>
  <c r="J55" i="2" s="1"/>
  <c r="K55" i="2" s="1"/>
  <c r="I56" i="2"/>
  <c r="J56" i="2" s="1"/>
  <c r="K56" i="2" s="1"/>
  <c r="I57" i="2"/>
  <c r="J57" i="2" s="1"/>
  <c r="K57" i="2" s="1"/>
  <c r="I58" i="2"/>
  <c r="J58" i="2" s="1"/>
  <c r="K58" i="2" s="1"/>
  <c r="I59" i="2"/>
  <c r="J59" i="2" s="1"/>
  <c r="K59" i="2" s="1"/>
  <c r="I60" i="2"/>
  <c r="J60" i="2" s="1"/>
  <c r="K60" i="2" s="1"/>
  <c r="I61" i="2"/>
  <c r="J61" i="2" s="1"/>
  <c r="K61" i="2" s="1"/>
  <c r="I62" i="2"/>
  <c r="I63" i="2"/>
  <c r="J63" i="2" s="1"/>
  <c r="K63" i="2" s="1"/>
  <c r="I64" i="2"/>
  <c r="J64" i="2" s="1"/>
  <c r="K64" i="2" s="1"/>
  <c r="I65" i="2"/>
  <c r="J65" i="2" s="1"/>
  <c r="K65" i="2" s="1"/>
  <c r="I66" i="2"/>
  <c r="J66" i="2" s="1"/>
  <c r="K66" i="2" s="1"/>
  <c r="I67" i="2"/>
  <c r="J67" i="2" s="1"/>
  <c r="K67" i="2" s="1"/>
  <c r="I68" i="2"/>
  <c r="J68" i="2" s="1"/>
  <c r="K68" i="2" s="1"/>
  <c r="I69" i="2"/>
  <c r="J69" i="2" s="1"/>
  <c r="K69" i="2" s="1"/>
  <c r="I70" i="2"/>
  <c r="J70" i="2" s="1"/>
  <c r="K70" i="2" s="1"/>
  <c r="I71" i="2"/>
  <c r="J71" i="2" s="1"/>
  <c r="K71" i="2" s="1"/>
  <c r="I72" i="2"/>
  <c r="J72" i="2" s="1"/>
  <c r="K72" i="2" s="1"/>
  <c r="I73" i="2"/>
  <c r="J73" i="2" s="1"/>
  <c r="K73" i="2" s="1"/>
  <c r="I74" i="2"/>
  <c r="J74" i="2" s="1"/>
  <c r="K74" i="2" s="1"/>
  <c r="I75" i="2"/>
  <c r="J75" i="2" s="1"/>
  <c r="K75" i="2" s="1"/>
  <c r="I76" i="2"/>
  <c r="J76" i="2" s="1"/>
  <c r="K76" i="2" s="1"/>
  <c r="I77" i="2"/>
  <c r="J77" i="2" s="1"/>
  <c r="K77" i="2" s="1"/>
  <c r="I78" i="2"/>
  <c r="J78" i="2" s="1"/>
  <c r="K78" i="2" s="1"/>
  <c r="I79" i="2"/>
  <c r="J79" i="2" s="1"/>
  <c r="K79" i="2" s="1"/>
  <c r="I80" i="2"/>
  <c r="J80" i="2" s="1"/>
  <c r="K80" i="2" s="1"/>
  <c r="I81" i="2"/>
  <c r="J81" i="2" s="1"/>
  <c r="K81" i="2" s="1"/>
  <c r="I82" i="2"/>
  <c r="J82" i="2" s="1"/>
  <c r="K82" i="2" s="1"/>
  <c r="I83" i="2"/>
  <c r="J83" i="2" s="1"/>
  <c r="K83" i="2" s="1"/>
  <c r="I84" i="2"/>
  <c r="J84" i="2" s="1"/>
  <c r="K84" i="2" s="1"/>
  <c r="I85" i="2"/>
  <c r="J85" i="2" s="1"/>
  <c r="K85" i="2" s="1"/>
  <c r="I86" i="2"/>
  <c r="J86" i="2" s="1"/>
  <c r="K86" i="2" s="1"/>
  <c r="I87" i="2"/>
  <c r="J87" i="2" s="1"/>
  <c r="K87" i="2" s="1"/>
  <c r="I88" i="2"/>
  <c r="J88" i="2" s="1"/>
  <c r="K88" i="2" s="1"/>
  <c r="I89" i="2"/>
  <c r="J89" i="2" s="1"/>
  <c r="K89" i="2" s="1"/>
  <c r="I90" i="2"/>
  <c r="J90" i="2" s="1"/>
  <c r="K90" i="2" s="1"/>
  <c r="I91" i="2"/>
  <c r="J91" i="2" s="1"/>
  <c r="K91" i="2" s="1"/>
  <c r="I92" i="2"/>
  <c r="J92" i="2" s="1"/>
  <c r="K92" i="2" s="1"/>
  <c r="I93" i="2"/>
  <c r="J93" i="2" s="1"/>
  <c r="K93" i="2" s="1"/>
  <c r="I94" i="2"/>
  <c r="I95" i="2"/>
  <c r="J95" i="2" s="1"/>
  <c r="K95" i="2" s="1"/>
  <c r="I96" i="2"/>
  <c r="J96" i="2" s="1"/>
  <c r="K96" i="2" s="1"/>
  <c r="I97" i="2"/>
  <c r="J97" i="2" s="1"/>
  <c r="K97" i="2" s="1"/>
  <c r="I98" i="2"/>
  <c r="J98" i="2" s="1"/>
  <c r="K98" i="2" s="1"/>
  <c r="I99" i="2"/>
  <c r="J99" i="2" s="1"/>
  <c r="K99" i="2" s="1"/>
  <c r="I100" i="2"/>
  <c r="I101" i="2"/>
  <c r="J101" i="2" s="1"/>
  <c r="K101" i="2" s="1"/>
  <c r="I102" i="2"/>
  <c r="J102" i="2" s="1"/>
  <c r="K102" i="2" s="1"/>
  <c r="I103" i="2"/>
  <c r="J103" i="2" s="1"/>
  <c r="K103" i="2" s="1"/>
  <c r="I104" i="2"/>
  <c r="J104" i="2" s="1"/>
  <c r="K104" i="2" s="1"/>
  <c r="I105" i="2"/>
  <c r="J105" i="2" s="1"/>
  <c r="K105" i="2" s="1"/>
  <c r="I106" i="2"/>
  <c r="J106" i="2" s="1"/>
  <c r="K106" i="2" s="1"/>
  <c r="I107" i="2"/>
  <c r="J107" i="2" s="1"/>
  <c r="K107" i="2" s="1"/>
  <c r="I108" i="2"/>
  <c r="J108" i="2" s="1"/>
  <c r="K108" i="2" s="1"/>
  <c r="I109" i="2"/>
  <c r="J109" i="2" s="1"/>
  <c r="K109" i="2" s="1"/>
  <c r="I110" i="2"/>
  <c r="I111" i="2"/>
  <c r="J111" i="2" s="1"/>
  <c r="K111" i="2" s="1"/>
  <c r="I112" i="2"/>
  <c r="J112" i="2" s="1"/>
  <c r="K112" i="2" s="1"/>
  <c r="I113" i="2"/>
  <c r="J113" i="2" s="1"/>
  <c r="K113" i="2" s="1"/>
  <c r="I114" i="2"/>
  <c r="J114" i="2" s="1"/>
  <c r="K114" i="2" s="1"/>
  <c r="I115" i="2"/>
  <c r="J115" i="2" s="1"/>
  <c r="K115" i="2" s="1"/>
  <c r="I116" i="2"/>
  <c r="J116" i="2" s="1"/>
  <c r="K116" i="2" s="1"/>
  <c r="I117" i="2"/>
  <c r="J117" i="2" s="1"/>
  <c r="K117" i="2" s="1"/>
  <c r="I118" i="2"/>
  <c r="I119" i="2"/>
  <c r="J119" i="2" s="1"/>
  <c r="K119" i="2" s="1"/>
  <c r="I120" i="2"/>
  <c r="J120" i="2" s="1"/>
  <c r="K120" i="2" s="1"/>
  <c r="I121" i="2"/>
  <c r="J121" i="2" s="1"/>
  <c r="K121" i="2" s="1"/>
  <c r="I122" i="2"/>
  <c r="J122" i="2" s="1"/>
  <c r="K122" i="2" s="1"/>
  <c r="I123" i="2"/>
  <c r="J123" i="2" s="1"/>
  <c r="K123" i="2" s="1"/>
  <c r="I124" i="2"/>
  <c r="J124" i="2" s="1"/>
  <c r="K124" i="2" s="1"/>
  <c r="I125" i="2"/>
  <c r="J125" i="2" s="1"/>
  <c r="K125" i="2" s="1"/>
  <c r="I126" i="2"/>
  <c r="I127" i="2"/>
  <c r="J127" i="2" s="1"/>
  <c r="K127" i="2" s="1"/>
  <c r="I128" i="2"/>
  <c r="J128" i="2" s="1"/>
  <c r="K128" i="2" s="1"/>
  <c r="I129" i="2"/>
  <c r="J129" i="2" s="1"/>
  <c r="K129" i="2" s="1"/>
  <c r="I130" i="2"/>
  <c r="J130" i="2" s="1"/>
  <c r="K130" i="2" s="1"/>
  <c r="I131" i="2"/>
  <c r="J131" i="2" s="1"/>
  <c r="K131" i="2" s="1"/>
  <c r="I132" i="2"/>
  <c r="J132" i="2" s="1"/>
  <c r="K132" i="2" s="1"/>
  <c r="I133" i="2"/>
  <c r="J133" i="2" s="1"/>
  <c r="K133" i="2" s="1"/>
  <c r="I134" i="2"/>
  <c r="J134" i="2" s="1"/>
  <c r="K134" i="2" s="1"/>
  <c r="I135" i="2"/>
  <c r="J135" i="2" s="1"/>
  <c r="K135" i="2" s="1"/>
  <c r="I136" i="2"/>
  <c r="J136" i="2" s="1"/>
  <c r="K136" i="2" s="1"/>
  <c r="I137" i="2"/>
  <c r="J137" i="2" s="1"/>
  <c r="K137" i="2" s="1"/>
  <c r="I138" i="2"/>
  <c r="J138" i="2" s="1"/>
  <c r="K138" i="2" s="1"/>
  <c r="I139" i="2"/>
  <c r="J139" i="2" s="1"/>
  <c r="K139" i="2" s="1"/>
  <c r="I140" i="2"/>
  <c r="J140" i="2" s="1"/>
  <c r="K140" i="2" s="1"/>
  <c r="I141" i="2"/>
  <c r="J141" i="2" s="1"/>
  <c r="K141" i="2" s="1"/>
  <c r="I142" i="2"/>
  <c r="J142" i="2" s="1"/>
  <c r="K142" i="2" s="1"/>
  <c r="I143" i="2"/>
  <c r="J143" i="2" s="1"/>
  <c r="K143" i="2" s="1"/>
  <c r="I144" i="2"/>
  <c r="J144" i="2" s="1"/>
  <c r="K144" i="2" s="1"/>
  <c r="I145" i="2"/>
  <c r="J145" i="2" s="1"/>
  <c r="K145" i="2" s="1"/>
  <c r="I146" i="2"/>
  <c r="J146" i="2" s="1"/>
  <c r="K146" i="2" s="1"/>
  <c r="I147" i="2"/>
  <c r="J147" i="2" s="1"/>
  <c r="K147" i="2" s="1"/>
  <c r="I148" i="2"/>
  <c r="J148" i="2" s="1"/>
  <c r="K148" i="2" s="1"/>
  <c r="I149" i="2"/>
  <c r="J149" i="2" s="1"/>
  <c r="K149" i="2" s="1"/>
  <c r="I150" i="2"/>
  <c r="J150" i="2" s="1"/>
  <c r="K150" i="2" s="1"/>
  <c r="I151" i="2"/>
  <c r="J151" i="2" s="1"/>
  <c r="K151" i="2" s="1"/>
  <c r="I152" i="2"/>
  <c r="J152" i="2" s="1"/>
  <c r="K152" i="2" s="1"/>
  <c r="I153" i="2"/>
  <c r="J153" i="2" s="1"/>
  <c r="K153" i="2" s="1"/>
  <c r="I154" i="2"/>
  <c r="J154" i="2" s="1"/>
  <c r="K154" i="2" s="1"/>
  <c r="I155" i="2"/>
  <c r="J155" i="2" s="1"/>
  <c r="K155" i="2" s="1"/>
  <c r="I156" i="2"/>
  <c r="J156" i="2" s="1"/>
  <c r="K156" i="2" s="1"/>
  <c r="I157" i="2"/>
  <c r="J157" i="2" s="1"/>
  <c r="K157" i="2" s="1"/>
  <c r="I158" i="2"/>
  <c r="J158" i="2" s="1"/>
  <c r="K158" i="2" s="1"/>
  <c r="I159" i="2"/>
  <c r="J159" i="2" s="1"/>
  <c r="K159" i="2" s="1"/>
  <c r="I160" i="2"/>
  <c r="J160" i="2" s="1"/>
  <c r="K160" i="2" s="1"/>
  <c r="I161" i="2"/>
  <c r="J161" i="2" s="1"/>
  <c r="K161" i="2" s="1"/>
  <c r="I162" i="2"/>
  <c r="J162" i="2" s="1"/>
  <c r="K162" i="2" s="1"/>
  <c r="I163" i="2"/>
  <c r="J163" i="2" s="1"/>
  <c r="K163" i="2" s="1"/>
  <c r="I164" i="2"/>
  <c r="J164" i="2" s="1"/>
  <c r="K164" i="2" s="1"/>
  <c r="I165" i="2"/>
  <c r="J165" i="2" s="1"/>
  <c r="K165" i="2" s="1"/>
  <c r="I166" i="2"/>
  <c r="J166" i="2" s="1"/>
  <c r="K166" i="2" s="1"/>
  <c r="I167" i="2"/>
  <c r="J167" i="2" s="1"/>
  <c r="K167" i="2" s="1"/>
  <c r="I168" i="2"/>
  <c r="J168" i="2" s="1"/>
  <c r="K168" i="2" s="1"/>
  <c r="I169" i="2"/>
  <c r="J169" i="2" s="1"/>
  <c r="K169" i="2" s="1"/>
  <c r="I170" i="2"/>
  <c r="J170" i="2" s="1"/>
  <c r="K170" i="2" s="1"/>
  <c r="I171" i="2"/>
  <c r="J171" i="2" s="1"/>
  <c r="K171" i="2" s="1"/>
  <c r="I172" i="2"/>
  <c r="I173" i="2"/>
  <c r="J173" i="2" s="1"/>
  <c r="K173" i="2" s="1"/>
  <c r="I174" i="2"/>
  <c r="I175" i="2"/>
  <c r="J175" i="2" s="1"/>
  <c r="K175" i="2" s="1"/>
  <c r="I176" i="2"/>
  <c r="J176" i="2" s="1"/>
  <c r="K176" i="2" s="1"/>
  <c r="I177" i="2"/>
  <c r="J177" i="2" s="1"/>
  <c r="K177" i="2" s="1"/>
  <c r="I178" i="2"/>
  <c r="J178" i="2" s="1"/>
  <c r="K178" i="2" s="1"/>
  <c r="I179" i="2"/>
  <c r="J179" i="2" s="1"/>
  <c r="K179" i="2" s="1"/>
  <c r="I180" i="2"/>
  <c r="J180" i="2" s="1"/>
  <c r="K180" i="2" s="1"/>
  <c r="I181" i="2"/>
  <c r="I182" i="2"/>
  <c r="I183" i="2"/>
  <c r="J183" i="2" s="1"/>
  <c r="K183" i="2" s="1"/>
  <c r="I184" i="2"/>
  <c r="I185" i="2"/>
  <c r="J185" i="2" s="1"/>
  <c r="K185" i="2" s="1"/>
  <c r="I186" i="2"/>
  <c r="J186" i="2" s="1"/>
  <c r="K186" i="2" s="1"/>
  <c r="I187" i="2"/>
  <c r="J187" i="2" s="1"/>
  <c r="K187" i="2" s="1"/>
  <c r="I188" i="2"/>
  <c r="J188" i="2" s="1"/>
  <c r="K188" i="2" s="1"/>
  <c r="I189" i="2"/>
  <c r="J189" i="2" s="1"/>
  <c r="K189" i="2" s="1"/>
  <c r="I190" i="2"/>
  <c r="J190" i="2" s="1"/>
  <c r="K190" i="2" s="1"/>
  <c r="I191" i="2"/>
  <c r="J191" i="2" s="1"/>
  <c r="K191" i="2" s="1"/>
  <c r="I192" i="2"/>
  <c r="J192" i="2" s="1"/>
  <c r="K192" i="2" s="1"/>
  <c r="I193" i="2"/>
  <c r="J193" i="2" s="1"/>
  <c r="K193" i="2" s="1"/>
  <c r="I194" i="2"/>
  <c r="J194" i="2" s="1"/>
  <c r="K194" i="2" s="1"/>
  <c r="I195" i="2"/>
  <c r="J195" i="2" s="1"/>
  <c r="K195" i="2" s="1"/>
  <c r="I196" i="2"/>
  <c r="J196" i="2" s="1"/>
  <c r="K196" i="2" s="1"/>
  <c r="I197" i="2"/>
  <c r="J197" i="2" s="1"/>
  <c r="K197" i="2" s="1"/>
  <c r="I198" i="2"/>
  <c r="I199" i="2"/>
  <c r="J199" i="2" s="1"/>
  <c r="K199" i="2" s="1"/>
  <c r="I200" i="2"/>
  <c r="J200" i="2" s="1"/>
  <c r="K200" i="2" s="1"/>
  <c r="I201" i="2"/>
  <c r="J201" i="2" s="1"/>
  <c r="K201" i="2" s="1"/>
  <c r="I202" i="2"/>
  <c r="J202" i="2" s="1"/>
  <c r="K202" i="2" s="1"/>
  <c r="I203" i="2"/>
  <c r="J203" i="2" s="1"/>
  <c r="K203" i="2" s="1"/>
  <c r="I204" i="2"/>
  <c r="J204" i="2" s="1"/>
  <c r="K204" i="2" s="1"/>
  <c r="I205" i="2"/>
  <c r="J205" i="2" s="1"/>
  <c r="K205" i="2" s="1"/>
  <c r="I206" i="2"/>
  <c r="I207" i="2"/>
  <c r="J207" i="2" s="1"/>
  <c r="K207" i="2" s="1"/>
  <c r="I208" i="2"/>
  <c r="I209" i="2"/>
  <c r="J209" i="2" s="1"/>
  <c r="K209" i="2" s="1"/>
  <c r="I210" i="2"/>
  <c r="J210" i="2" s="1"/>
  <c r="K210" i="2" s="1"/>
  <c r="I211" i="2"/>
  <c r="J211" i="2" s="1"/>
  <c r="K211" i="2" s="1"/>
  <c r="I212" i="2"/>
  <c r="J212" i="2" s="1"/>
  <c r="K212" i="2" s="1"/>
  <c r="I213" i="2"/>
  <c r="J213" i="2" s="1"/>
  <c r="K213" i="2" s="1"/>
  <c r="I214" i="2"/>
  <c r="J214" i="2" s="1"/>
  <c r="K214" i="2" s="1"/>
  <c r="I215" i="2"/>
  <c r="J215" i="2" s="1"/>
  <c r="K215" i="2" s="1"/>
  <c r="I216" i="2"/>
  <c r="J216" i="2" s="1"/>
  <c r="K216" i="2" s="1"/>
  <c r="I217" i="2"/>
  <c r="J217" i="2" s="1"/>
  <c r="K217" i="2" s="1"/>
  <c r="I218" i="2"/>
  <c r="J218" i="2" s="1"/>
  <c r="K218" i="2" s="1"/>
  <c r="I219" i="2"/>
  <c r="J219" i="2" s="1"/>
  <c r="K219" i="2" s="1"/>
  <c r="I220" i="2"/>
  <c r="J220" i="2" s="1"/>
  <c r="K220" i="2" s="1"/>
  <c r="I221" i="2"/>
  <c r="J221" i="2" s="1"/>
  <c r="K221" i="2" s="1"/>
  <c r="I222" i="2"/>
  <c r="J222" i="2" s="1"/>
  <c r="K222" i="2" s="1"/>
  <c r="I223" i="2"/>
  <c r="J223" i="2" s="1"/>
  <c r="K223" i="2" s="1"/>
  <c r="I224" i="2"/>
  <c r="J224" i="2" s="1"/>
  <c r="K224" i="2" s="1"/>
  <c r="I225" i="2"/>
  <c r="J225" i="2" s="1"/>
  <c r="K225" i="2" s="1"/>
  <c r="I226" i="2"/>
  <c r="J226" i="2" s="1"/>
  <c r="K226" i="2" s="1"/>
  <c r="I227" i="2"/>
  <c r="J227" i="2" s="1"/>
  <c r="K227" i="2" s="1"/>
  <c r="I228" i="2"/>
  <c r="I229" i="2"/>
  <c r="J229" i="2" s="1"/>
  <c r="K229" i="2" s="1"/>
  <c r="I230" i="2"/>
  <c r="J230" i="2" s="1"/>
  <c r="K230" i="2" s="1"/>
  <c r="I231" i="2"/>
  <c r="J231" i="2" s="1"/>
  <c r="K231" i="2" s="1"/>
  <c r="I232" i="2"/>
  <c r="J232" i="2" s="1"/>
  <c r="K232" i="2" s="1"/>
  <c r="I233" i="2"/>
  <c r="J233" i="2" s="1"/>
  <c r="K233" i="2" s="1"/>
  <c r="I234" i="2"/>
  <c r="J234" i="2" s="1"/>
  <c r="K234" i="2" s="1"/>
  <c r="I235" i="2"/>
  <c r="J235" i="2" s="1"/>
  <c r="K235" i="2" s="1"/>
  <c r="I236" i="2"/>
  <c r="J236" i="2" s="1"/>
  <c r="K236" i="2" s="1"/>
  <c r="I237" i="2"/>
  <c r="J237" i="2" s="1"/>
  <c r="K237" i="2" s="1"/>
  <c r="I238" i="2"/>
  <c r="I239" i="2"/>
  <c r="J239" i="2" s="1"/>
  <c r="K239" i="2" s="1"/>
  <c r="I240" i="2"/>
  <c r="J240" i="2" s="1"/>
  <c r="K240" i="2" s="1"/>
  <c r="I241" i="2"/>
  <c r="J241" i="2" s="1"/>
  <c r="K241" i="2" s="1"/>
  <c r="I242" i="2"/>
  <c r="J242" i="2" s="1"/>
  <c r="K242" i="2" s="1"/>
  <c r="I243" i="2"/>
  <c r="J243" i="2" s="1"/>
  <c r="K243" i="2" s="1"/>
  <c r="I244" i="2"/>
  <c r="J244" i="2" s="1"/>
  <c r="K244" i="2" s="1"/>
  <c r="I245" i="2"/>
  <c r="I246" i="2"/>
  <c r="I247" i="2"/>
  <c r="J247" i="2" s="1"/>
  <c r="K247" i="2" s="1"/>
  <c r="I248" i="2"/>
  <c r="J248" i="2" s="1"/>
  <c r="K248" i="2" s="1"/>
  <c r="I249" i="2"/>
  <c r="J249" i="2" s="1"/>
  <c r="K249" i="2" s="1"/>
  <c r="I250" i="2"/>
  <c r="J250" i="2" s="1"/>
  <c r="K250" i="2" s="1"/>
  <c r="I251" i="2"/>
  <c r="J251" i="2" s="1"/>
  <c r="K251" i="2" s="1"/>
  <c r="I252" i="2"/>
  <c r="J252" i="2" s="1"/>
  <c r="K252" i="2" s="1"/>
  <c r="I253" i="2"/>
  <c r="J253" i="2" s="1"/>
  <c r="K253" i="2" s="1"/>
  <c r="I254" i="2"/>
  <c r="J254" i="2" s="1"/>
  <c r="K254" i="2" s="1"/>
  <c r="I255" i="2"/>
  <c r="J255" i="2" s="1"/>
  <c r="K255" i="2" s="1"/>
  <c r="I256" i="2"/>
  <c r="J256" i="2" s="1"/>
  <c r="K256" i="2" s="1"/>
  <c r="I257" i="2"/>
  <c r="J257" i="2" s="1"/>
  <c r="K257" i="2" s="1"/>
  <c r="I258" i="2"/>
  <c r="J258" i="2" s="1"/>
  <c r="K258" i="2" s="1"/>
  <c r="I259" i="2"/>
  <c r="J259" i="2" s="1"/>
  <c r="K259" i="2" s="1"/>
  <c r="I260" i="2"/>
  <c r="J260" i="2" s="1"/>
  <c r="K260" i="2" s="1"/>
  <c r="I261" i="2"/>
  <c r="J261" i="2" s="1"/>
  <c r="K261" i="2" s="1"/>
  <c r="I262" i="2"/>
  <c r="I263" i="2"/>
  <c r="J263" i="2" s="1"/>
  <c r="K263" i="2" s="1"/>
  <c r="I264" i="2"/>
  <c r="I265" i="2"/>
  <c r="I266" i="2"/>
  <c r="I267" i="2"/>
  <c r="J267" i="2" s="1"/>
  <c r="K267" i="2" s="1"/>
  <c r="I268" i="2"/>
  <c r="J268" i="2" s="1"/>
  <c r="K268" i="2" s="1"/>
  <c r="I269" i="2"/>
  <c r="J269" i="2" s="1"/>
  <c r="K269" i="2" s="1"/>
  <c r="I270" i="2"/>
  <c r="J270" i="2" s="1"/>
  <c r="K270" i="2" s="1"/>
  <c r="I271" i="2"/>
  <c r="J271" i="2" s="1"/>
  <c r="K271" i="2" s="1"/>
  <c r="I272" i="2"/>
  <c r="J272" i="2" s="1"/>
  <c r="K272" i="2" s="1"/>
  <c r="I273" i="2"/>
  <c r="J273" i="2" s="1"/>
  <c r="K273" i="2" s="1"/>
  <c r="I274" i="2"/>
  <c r="J274" i="2" s="1"/>
  <c r="K274" i="2" s="1"/>
  <c r="I275" i="2"/>
  <c r="J275" i="2" s="1"/>
  <c r="K275" i="2" s="1"/>
  <c r="I276" i="2"/>
  <c r="J276" i="2" s="1"/>
  <c r="K276" i="2" s="1"/>
  <c r="I277" i="2"/>
  <c r="J277" i="2" s="1"/>
  <c r="K277" i="2" s="1"/>
  <c r="I278" i="2"/>
  <c r="J278" i="2" s="1"/>
  <c r="K278" i="2" s="1"/>
  <c r="I279" i="2"/>
  <c r="J279" i="2" s="1"/>
  <c r="K279" i="2" s="1"/>
  <c r="I280" i="2"/>
  <c r="J280" i="2" s="1"/>
  <c r="K280" i="2" s="1"/>
  <c r="I281" i="2"/>
  <c r="J281" i="2" s="1"/>
  <c r="K281" i="2" s="1"/>
  <c r="I282" i="2"/>
  <c r="J282" i="2" s="1"/>
  <c r="K282" i="2" s="1"/>
  <c r="I283" i="2"/>
  <c r="J283" i="2" s="1"/>
  <c r="K283" i="2" s="1"/>
  <c r="I284" i="2"/>
  <c r="J284" i="2" s="1"/>
  <c r="K284" i="2" s="1"/>
  <c r="I285" i="2"/>
  <c r="J285" i="2" s="1"/>
  <c r="K285" i="2" s="1"/>
  <c r="I286" i="2"/>
  <c r="J286" i="2" s="1"/>
  <c r="K286" i="2" s="1"/>
  <c r="I287" i="2"/>
  <c r="J287" i="2" s="1"/>
  <c r="K287" i="2" s="1"/>
  <c r="I288" i="2"/>
  <c r="J288" i="2" s="1"/>
  <c r="K288" i="2" s="1"/>
  <c r="I289" i="2"/>
  <c r="J289" i="2" s="1"/>
  <c r="K289" i="2" s="1"/>
  <c r="I290" i="2"/>
  <c r="J290" i="2" s="1"/>
  <c r="K290" i="2" s="1"/>
  <c r="I291" i="2"/>
  <c r="J291" i="2" s="1"/>
  <c r="K291" i="2" s="1"/>
  <c r="I292" i="2"/>
  <c r="I293" i="2"/>
  <c r="I294" i="2"/>
  <c r="J294" i="2" s="1"/>
  <c r="K294" i="2" s="1"/>
  <c r="I295" i="2"/>
  <c r="J295" i="2" s="1"/>
  <c r="K295" i="2" s="1"/>
  <c r="I296" i="2"/>
  <c r="J296" i="2" s="1"/>
  <c r="K296" i="2" s="1"/>
  <c r="I297" i="2"/>
  <c r="J297" i="2" s="1"/>
  <c r="K297" i="2" s="1"/>
  <c r="I298" i="2"/>
  <c r="J298" i="2" s="1"/>
  <c r="K298" i="2" s="1"/>
  <c r="I299" i="2"/>
  <c r="J299" i="2" s="1"/>
  <c r="K299" i="2" s="1"/>
  <c r="I300" i="2"/>
  <c r="J300" i="2" s="1"/>
  <c r="K300" i="2" s="1"/>
  <c r="I301" i="2"/>
  <c r="J301" i="2" s="1"/>
  <c r="K301" i="2" s="1"/>
  <c r="I302" i="2"/>
  <c r="J302" i="2" s="1"/>
  <c r="K302" i="2" s="1"/>
  <c r="I303" i="2"/>
  <c r="J303" i="2" s="1"/>
  <c r="K303" i="2" s="1"/>
  <c r="I304" i="2"/>
  <c r="J304" i="2" s="1"/>
  <c r="K304" i="2" s="1"/>
  <c r="I305" i="2"/>
  <c r="J305" i="2" s="1"/>
  <c r="K305" i="2" s="1"/>
  <c r="I306" i="2"/>
  <c r="J306" i="2" s="1"/>
  <c r="K306" i="2" s="1"/>
  <c r="I307" i="2"/>
  <c r="J307" i="2" s="1"/>
  <c r="K307" i="2" s="1"/>
  <c r="I308" i="2"/>
  <c r="J308" i="2" s="1"/>
  <c r="K308" i="2" s="1"/>
  <c r="I309" i="2"/>
  <c r="J309" i="2" s="1"/>
  <c r="K309" i="2" s="1"/>
  <c r="I310" i="2"/>
  <c r="J310" i="2" s="1"/>
  <c r="K310" i="2" s="1"/>
  <c r="I311" i="2"/>
  <c r="J311" i="2" s="1"/>
  <c r="K311" i="2" s="1"/>
  <c r="I312" i="2"/>
  <c r="J312" i="2" s="1"/>
  <c r="K312" i="2" s="1"/>
  <c r="I313" i="2"/>
  <c r="J313" i="2" s="1"/>
  <c r="K313" i="2" s="1"/>
  <c r="I314" i="2"/>
  <c r="J314" i="2" s="1"/>
  <c r="K314" i="2" s="1"/>
  <c r="I315" i="2"/>
  <c r="J315" i="2" s="1"/>
  <c r="K315" i="2" s="1"/>
  <c r="I316" i="2"/>
  <c r="J316" i="2" s="1"/>
  <c r="K316" i="2" s="1"/>
  <c r="I317" i="2"/>
  <c r="J317" i="2" s="1"/>
  <c r="K317" i="2" s="1"/>
  <c r="I318" i="2"/>
  <c r="I319" i="2"/>
  <c r="J319" i="2" s="1"/>
  <c r="K319" i="2" s="1"/>
  <c r="I320" i="2"/>
  <c r="I321" i="2"/>
  <c r="I322" i="2"/>
  <c r="J322" i="2" s="1"/>
  <c r="K322" i="2" s="1"/>
  <c r="I323" i="2"/>
  <c r="J323" i="2" s="1"/>
  <c r="K323" i="2" s="1"/>
  <c r="I324" i="2"/>
  <c r="J324" i="2" s="1"/>
  <c r="K324" i="2" s="1"/>
  <c r="I325" i="2"/>
  <c r="J325" i="2" s="1"/>
  <c r="K325" i="2" s="1"/>
  <c r="I326" i="2"/>
  <c r="I327" i="2"/>
  <c r="J327" i="2" s="1"/>
  <c r="K327" i="2" s="1"/>
  <c r="I328" i="2"/>
  <c r="J328" i="2" s="1"/>
  <c r="K328" i="2" s="1"/>
  <c r="I329" i="2"/>
  <c r="J329" i="2" s="1"/>
  <c r="K329" i="2" s="1"/>
  <c r="I330" i="2"/>
  <c r="J330" i="2" s="1"/>
  <c r="K330" i="2" s="1"/>
  <c r="I331" i="2"/>
  <c r="J331" i="2" s="1"/>
  <c r="K331" i="2" s="1"/>
  <c r="I332" i="2"/>
  <c r="J332" i="2" s="1"/>
  <c r="K332" i="2" s="1"/>
  <c r="I333" i="2"/>
  <c r="J333" i="2" s="1"/>
  <c r="K333" i="2" s="1"/>
  <c r="I334" i="2"/>
  <c r="J334" i="2" s="1"/>
  <c r="K334" i="2" s="1"/>
  <c r="I335" i="2"/>
  <c r="J335" i="2" s="1"/>
  <c r="K335" i="2" s="1"/>
  <c r="I336" i="2"/>
  <c r="J336" i="2" s="1"/>
  <c r="K336" i="2" s="1"/>
  <c r="I337" i="2"/>
  <c r="J337" i="2" s="1"/>
  <c r="K337" i="2" s="1"/>
  <c r="I338" i="2"/>
  <c r="J338" i="2" s="1"/>
  <c r="K338" i="2" s="1"/>
  <c r="I339" i="2"/>
  <c r="J339" i="2" s="1"/>
  <c r="K339" i="2" s="1"/>
  <c r="I340" i="2"/>
  <c r="J340" i="2" s="1"/>
  <c r="K340" i="2" s="1"/>
  <c r="I341" i="2"/>
  <c r="J341" i="2" s="1"/>
  <c r="K341" i="2" s="1"/>
  <c r="I342" i="2"/>
  <c r="J342" i="2" s="1"/>
  <c r="K342" i="2" s="1"/>
  <c r="I343" i="2"/>
  <c r="J343" i="2" s="1"/>
  <c r="K343" i="2" s="1"/>
  <c r="I344" i="2"/>
  <c r="I345" i="2"/>
  <c r="J345" i="2" s="1"/>
  <c r="K345" i="2" s="1"/>
  <c r="I346" i="2"/>
  <c r="J346" i="2" s="1"/>
  <c r="K346" i="2" s="1"/>
  <c r="I347" i="2"/>
  <c r="J347" i="2" s="1"/>
  <c r="K347" i="2" s="1"/>
  <c r="I348" i="2"/>
  <c r="J348" i="2" s="1"/>
  <c r="K348" i="2" s="1"/>
  <c r="I349" i="2"/>
  <c r="J349" i="2" s="1"/>
  <c r="K349" i="2" s="1"/>
  <c r="I350" i="2"/>
  <c r="J350" i="2" s="1"/>
  <c r="K350" i="2" s="1"/>
  <c r="I351" i="2"/>
  <c r="J351" i="2" s="1"/>
  <c r="K351" i="2" s="1"/>
  <c r="I352" i="2"/>
  <c r="I353" i="2"/>
  <c r="I354" i="2"/>
  <c r="J354" i="2" s="1"/>
  <c r="K354" i="2" s="1"/>
  <c r="I355" i="2"/>
  <c r="J355" i="2" s="1"/>
  <c r="K355" i="2" s="1"/>
  <c r="I356" i="2"/>
  <c r="J356" i="2" s="1"/>
  <c r="K356" i="2" s="1"/>
  <c r="I357" i="2"/>
  <c r="J357" i="2" s="1"/>
  <c r="K357" i="2" s="1"/>
  <c r="I358" i="2"/>
  <c r="J358" i="2" s="1"/>
  <c r="K358" i="2" s="1"/>
  <c r="I359" i="2"/>
  <c r="J359" i="2" s="1"/>
  <c r="K359" i="2" s="1"/>
  <c r="I360" i="2"/>
  <c r="J360" i="2" s="1"/>
  <c r="K360" i="2" s="1"/>
  <c r="I361" i="2"/>
  <c r="J361" i="2" s="1"/>
  <c r="K361" i="2" s="1"/>
  <c r="I362" i="2"/>
  <c r="J362" i="2" s="1"/>
  <c r="K362" i="2" s="1"/>
  <c r="I363" i="2"/>
  <c r="J363" i="2" s="1"/>
  <c r="K363" i="2" s="1"/>
  <c r="I364" i="2"/>
  <c r="J364" i="2" s="1"/>
  <c r="K364" i="2" s="1"/>
  <c r="I365" i="2"/>
  <c r="J365" i="2" s="1"/>
  <c r="K365" i="2" s="1"/>
  <c r="I366" i="2"/>
  <c r="J366" i="2" s="1"/>
  <c r="K366" i="2" s="1"/>
  <c r="I367" i="2"/>
  <c r="J367" i="2" s="1"/>
  <c r="K367" i="2" s="1"/>
  <c r="I368" i="2"/>
  <c r="J368" i="2" s="1"/>
  <c r="K368" i="2" s="1"/>
  <c r="I369" i="2"/>
  <c r="J369" i="2" s="1"/>
  <c r="K369" i="2" s="1"/>
  <c r="I370" i="2"/>
  <c r="J370" i="2" s="1"/>
  <c r="K370" i="2" s="1"/>
  <c r="I371" i="2"/>
  <c r="J371" i="2" s="1"/>
  <c r="K371" i="2" s="1"/>
  <c r="I372" i="2"/>
  <c r="J372" i="2" s="1"/>
  <c r="K372" i="2" s="1"/>
  <c r="I373" i="2"/>
  <c r="J373" i="2" s="1"/>
  <c r="K373" i="2" s="1"/>
  <c r="I374" i="2"/>
  <c r="J374" i="2" s="1"/>
  <c r="K374" i="2" s="1"/>
  <c r="I375" i="2"/>
  <c r="J375" i="2" s="1"/>
  <c r="K375" i="2" s="1"/>
  <c r="I376" i="2"/>
  <c r="J376" i="2" s="1"/>
  <c r="K376" i="2" s="1"/>
  <c r="I377" i="2"/>
  <c r="J377" i="2" s="1"/>
  <c r="K377" i="2" s="1"/>
  <c r="I378" i="2"/>
  <c r="J378" i="2" s="1"/>
  <c r="K378" i="2" s="1"/>
  <c r="I379" i="2"/>
  <c r="J379" i="2" s="1"/>
  <c r="K379" i="2" s="1"/>
  <c r="I380" i="2"/>
  <c r="J380" i="2" s="1"/>
  <c r="K380" i="2" s="1"/>
  <c r="I381" i="2"/>
  <c r="J381" i="2" s="1"/>
  <c r="K381" i="2" s="1"/>
  <c r="I382" i="2"/>
  <c r="J382" i="2" s="1"/>
  <c r="K382" i="2" s="1"/>
  <c r="I383" i="2"/>
  <c r="J383" i="2" s="1"/>
  <c r="K383" i="2" s="1"/>
  <c r="I384" i="2"/>
  <c r="J384" i="2" s="1"/>
  <c r="K384" i="2" s="1"/>
  <c r="I385" i="2"/>
  <c r="J385" i="2" s="1"/>
  <c r="K385" i="2" s="1"/>
  <c r="I386" i="2"/>
  <c r="J386" i="2" s="1"/>
  <c r="K386" i="2" s="1"/>
  <c r="I387" i="2"/>
  <c r="J387" i="2" s="1"/>
  <c r="K387" i="2" s="1"/>
  <c r="I388" i="2"/>
  <c r="J388" i="2" s="1"/>
  <c r="K388" i="2" s="1"/>
  <c r="I389" i="2"/>
  <c r="J389" i="2" s="1"/>
  <c r="K389" i="2" s="1"/>
  <c r="I390" i="2"/>
  <c r="J390" i="2" s="1"/>
  <c r="K390" i="2" s="1"/>
  <c r="I391" i="2"/>
  <c r="J391" i="2" s="1"/>
  <c r="K391" i="2" s="1"/>
  <c r="I392" i="2"/>
  <c r="J392" i="2" s="1"/>
  <c r="K392" i="2" s="1"/>
  <c r="I393" i="2"/>
  <c r="J393" i="2" s="1"/>
  <c r="K393" i="2" s="1"/>
  <c r="I394" i="2"/>
  <c r="J394" i="2" s="1"/>
  <c r="K394" i="2" s="1"/>
  <c r="I395" i="2"/>
  <c r="J395" i="2" s="1"/>
  <c r="K395" i="2" s="1"/>
  <c r="I396" i="2"/>
  <c r="J396" i="2" s="1"/>
  <c r="K396" i="2" s="1"/>
  <c r="I397" i="2"/>
  <c r="J397" i="2" s="1"/>
  <c r="K397" i="2" s="1"/>
  <c r="I398" i="2"/>
  <c r="J398" i="2" s="1"/>
  <c r="K398" i="2" s="1"/>
  <c r="I399" i="2"/>
  <c r="J399" i="2" s="1"/>
  <c r="K399" i="2" s="1"/>
  <c r="I400" i="2"/>
  <c r="J400" i="2" s="1"/>
  <c r="K400" i="2" s="1"/>
  <c r="I401" i="2"/>
  <c r="J401" i="2" s="1"/>
  <c r="K401" i="2" s="1"/>
  <c r="I402" i="2"/>
  <c r="J402" i="2" s="1"/>
  <c r="K402" i="2" s="1"/>
  <c r="I403" i="2"/>
  <c r="J403" i="2" s="1"/>
  <c r="K403" i="2" s="1"/>
  <c r="I404" i="2"/>
  <c r="J404" i="2" s="1"/>
  <c r="K404" i="2" s="1"/>
  <c r="I405" i="2"/>
  <c r="J405" i="2" s="1"/>
  <c r="K405" i="2" s="1"/>
  <c r="I406" i="2"/>
  <c r="J406" i="2" s="1"/>
  <c r="K406" i="2" s="1"/>
  <c r="I407" i="2"/>
  <c r="J407" i="2" s="1"/>
  <c r="K407" i="2" s="1"/>
  <c r="I408" i="2"/>
  <c r="I409" i="2"/>
  <c r="J409" i="2" s="1"/>
  <c r="K409" i="2" s="1"/>
  <c r="I410" i="2"/>
  <c r="J410" i="2" s="1"/>
  <c r="K410" i="2" s="1"/>
  <c r="I411" i="2"/>
  <c r="J411" i="2" s="1"/>
  <c r="K411" i="2" s="1"/>
  <c r="I412" i="2"/>
  <c r="I413" i="2"/>
  <c r="J413" i="2" s="1"/>
  <c r="K413" i="2" s="1"/>
  <c r="I414" i="2"/>
  <c r="J414" i="2" s="1"/>
  <c r="K414" i="2" s="1"/>
  <c r="I415" i="2"/>
  <c r="J415" i="2" s="1"/>
  <c r="K415" i="2" s="1"/>
  <c r="I416" i="2"/>
  <c r="J416" i="2" s="1"/>
  <c r="K416" i="2" s="1"/>
  <c r="I417" i="2"/>
  <c r="J417" i="2" s="1"/>
  <c r="K417" i="2" s="1"/>
  <c r="I418" i="2"/>
  <c r="J418" i="2" s="1"/>
  <c r="K418" i="2" s="1"/>
  <c r="I419" i="2"/>
  <c r="J419" i="2" s="1"/>
  <c r="K419" i="2" s="1"/>
  <c r="I420" i="2"/>
  <c r="J420" i="2" s="1"/>
  <c r="K420" i="2" s="1"/>
  <c r="I421" i="2"/>
  <c r="J421" i="2" s="1"/>
  <c r="K421" i="2" s="1"/>
  <c r="I422" i="2"/>
  <c r="J422" i="2" s="1"/>
  <c r="K422" i="2" s="1"/>
  <c r="I423" i="2"/>
  <c r="J423" i="2" s="1"/>
  <c r="K423" i="2" s="1"/>
  <c r="I424" i="2"/>
  <c r="J424" i="2" s="1"/>
  <c r="K424" i="2" s="1"/>
  <c r="I425" i="2"/>
  <c r="J425" i="2" s="1"/>
  <c r="K425" i="2" s="1"/>
  <c r="I426" i="2"/>
  <c r="J426" i="2" s="1"/>
  <c r="K426" i="2" s="1"/>
  <c r="I427" i="2"/>
  <c r="J427" i="2" s="1"/>
  <c r="K427" i="2" s="1"/>
  <c r="I428" i="2"/>
  <c r="I429" i="2"/>
  <c r="J429" i="2" s="1"/>
  <c r="K429" i="2" s="1"/>
  <c r="I430" i="2"/>
  <c r="J430" i="2" s="1"/>
  <c r="K430" i="2" s="1"/>
  <c r="I431" i="2"/>
  <c r="J431" i="2" s="1"/>
  <c r="K431" i="2" s="1"/>
  <c r="I432" i="2"/>
  <c r="J432" i="2" s="1"/>
  <c r="K432" i="2" s="1"/>
  <c r="I433" i="2"/>
  <c r="J433" i="2" s="1"/>
  <c r="K433" i="2" s="1"/>
  <c r="I434" i="2"/>
  <c r="J434" i="2" s="1"/>
  <c r="K434" i="2" s="1"/>
  <c r="I435" i="2"/>
  <c r="J435" i="2" s="1"/>
  <c r="K435" i="2" s="1"/>
  <c r="I436" i="2"/>
  <c r="J436" i="2" s="1"/>
  <c r="K436" i="2" s="1"/>
  <c r="I437" i="2"/>
  <c r="J437" i="2" s="1"/>
  <c r="K437" i="2" s="1"/>
  <c r="I438" i="2"/>
  <c r="J438" i="2" s="1"/>
  <c r="K438" i="2" s="1"/>
  <c r="I439" i="2"/>
  <c r="J439" i="2" s="1"/>
  <c r="K439" i="2" s="1"/>
  <c r="I440" i="2"/>
  <c r="J440" i="2" s="1"/>
  <c r="K440" i="2" s="1"/>
  <c r="I441" i="2"/>
  <c r="J441" i="2" s="1"/>
  <c r="K441" i="2" s="1"/>
  <c r="I442" i="2"/>
  <c r="J442" i="2" s="1"/>
  <c r="K442" i="2" s="1"/>
  <c r="I443" i="2"/>
  <c r="J443" i="2" s="1"/>
  <c r="K443" i="2" s="1"/>
  <c r="I444" i="2"/>
  <c r="J444" i="2" s="1"/>
  <c r="K444" i="2" s="1"/>
  <c r="I445" i="2"/>
  <c r="J445" i="2" s="1"/>
  <c r="K445" i="2" s="1"/>
  <c r="I446" i="2"/>
  <c r="J446" i="2" s="1"/>
  <c r="K446" i="2" s="1"/>
  <c r="I447" i="2"/>
  <c r="J447" i="2" s="1"/>
  <c r="K447" i="2" s="1"/>
  <c r="I448" i="2"/>
  <c r="J448" i="2" s="1"/>
  <c r="K448" i="2" s="1"/>
  <c r="I449" i="2"/>
  <c r="J449" i="2" s="1"/>
  <c r="K449" i="2" s="1"/>
  <c r="I450" i="2"/>
  <c r="J450" i="2" s="1"/>
  <c r="K450" i="2" s="1"/>
  <c r="I451" i="2"/>
  <c r="J451" i="2" s="1"/>
  <c r="K451" i="2" s="1"/>
  <c r="I452" i="2"/>
  <c r="I453" i="2"/>
  <c r="J453" i="2" s="1"/>
  <c r="K453" i="2" s="1"/>
  <c r="I454" i="2"/>
  <c r="J454" i="2" s="1"/>
  <c r="K454" i="2" s="1"/>
  <c r="I455" i="2"/>
  <c r="J455" i="2" s="1"/>
  <c r="K455" i="2" s="1"/>
  <c r="I456" i="2"/>
  <c r="I457" i="2"/>
  <c r="J457" i="2" s="1"/>
  <c r="K457" i="2" s="1"/>
  <c r="I458" i="2"/>
  <c r="J458" i="2" s="1"/>
  <c r="K458" i="2" s="1"/>
  <c r="I459" i="2"/>
  <c r="J459" i="2" s="1"/>
  <c r="K459" i="2" s="1"/>
  <c r="I460" i="2"/>
  <c r="J460" i="2" s="1"/>
  <c r="K460" i="2" s="1"/>
  <c r="I461" i="2"/>
  <c r="J461" i="2" s="1"/>
  <c r="K461" i="2" s="1"/>
  <c r="I462" i="2"/>
  <c r="J462" i="2" s="1"/>
  <c r="K462" i="2" s="1"/>
  <c r="I463" i="2"/>
  <c r="J463" i="2" s="1"/>
  <c r="K463" i="2" s="1"/>
  <c r="I464" i="2"/>
  <c r="J464" i="2" s="1"/>
  <c r="K464" i="2" s="1"/>
  <c r="I465" i="2"/>
  <c r="J465" i="2" s="1"/>
  <c r="K465" i="2" s="1"/>
  <c r="I466" i="2"/>
  <c r="J466" i="2" s="1"/>
  <c r="K466" i="2" s="1"/>
  <c r="I467" i="2"/>
  <c r="J467" i="2" s="1"/>
  <c r="K467" i="2" s="1"/>
  <c r="I468" i="2"/>
  <c r="J468" i="2" s="1"/>
  <c r="K468" i="2" s="1"/>
  <c r="I469" i="2"/>
  <c r="J469" i="2" s="1"/>
  <c r="K469" i="2" s="1"/>
  <c r="I470" i="2"/>
  <c r="J470" i="2" s="1"/>
  <c r="K470" i="2" s="1"/>
  <c r="I471" i="2"/>
  <c r="J471" i="2" s="1"/>
  <c r="K471" i="2" s="1"/>
  <c r="I472" i="2"/>
  <c r="J472" i="2" s="1"/>
  <c r="K472" i="2" s="1"/>
  <c r="I473" i="2"/>
  <c r="J473" i="2" s="1"/>
  <c r="K473" i="2" s="1"/>
  <c r="I474" i="2"/>
  <c r="J474" i="2" s="1"/>
  <c r="K474" i="2" s="1"/>
  <c r="I475" i="2"/>
  <c r="J475" i="2" s="1"/>
  <c r="K475" i="2" s="1"/>
  <c r="I476" i="2"/>
  <c r="I477" i="2"/>
  <c r="J477" i="2" s="1"/>
  <c r="K477" i="2" s="1"/>
  <c r="I478" i="2"/>
  <c r="J478" i="2" s="1"/>
  <c r="K478" i="2" s="1"/>
  <c r="I479" i="2"/>
  <c r="J479" i="2" s="1"/>
  <c r="K479" i="2" s="1"/>
  <c r="I480" i="2"/>
  <c r="I481" i="2"/>
  <c r="I482" i="2"/>
  <c r="I483" i="2"/>
  <c r="J483" i="2" s="1"/>
  <c r="K483" i="2" s="1"/>
  <c r="I484" i="2"/>
  <c r="J484" i="2" s="1"/>
  <c r="K484" i="2" s="1"/>
  <c r="I485" i="2"/>
  <c r="J485" i="2" s="1"/>
  <c r="K485" i="2" s="1"/>
  <c r="I486" i="2"/>
  <c r="J486" i="2" s="1"/>
  <c r="K486" i="2" s="1"/>
  <c r="I487" i="2"/>
  <c r="J487" i="2" s="1"/>
  <c r="K487" i="2" s="1"/>
  <c r="I488" i="2"/>
  <c r="J488" i="2" s="1"/>
  <c r="K488" i="2" s="1"/>
  <c r="I489" i="2"/>
  <c r="J489" i="2" s="1"/>
  <c r="K489" i="2" s="1"/>
  <c r="I490" i="2"/>
  <c r="J490" i="2" s="1"/>
  <c r="K490" i="2" s="1"/>
  <c r="I491" i="2"/>
  <c r="J491" i="2" s="1"/>
  <c r="K491" i="2" s="1"/>
  <c r="I492" i="2"/>
  <c r="I493" i="2"/>
  <c r="J493" i="2" s="1"/>
  <c r="K493" i="2" s="1"/>
  <c r="I494" i="2"/>
  <c r="J494" i="2" s="1"/>
  <c r="K494" i="2" s="1"/>
  <c r="I495" i="2"/>
  <c r="J495" i="2" s="1"/>
  <c r="K495" i="2" s="1"/>
  <c r="I496" i="2"/>
  <c r="I497" i="2"/>
  <c r="J497" i="2" s="1"/>
  <c r="K497" i="2" s="1"/>
  <c r="I498" i="2"/>
  <c r="J498" i="2" s="1"/>
  <c r="K498" i="2" s="1"/>
  <c r="I499" i="2"/>
  <c r="J499" i="2" s="1"/>
  <c r="K499" i="2" s="1"/>
  <c r="I500" i="2"/>
  <c r="J500" i="2" s="1"/>
  <c r="K500" i="2" s="1"/>
  <c r="I501" i="2"/>
  <c r="J501" i="2" s="1"/>
  <c r="K501" i="2" s="1"/>
  <c r="I502" i="2"/>
  <c r="J502" i="2" s="1"/>
  <c r="K502" i="2" s="1"/>
  <c r="I503" i="2"/>
  <c r="J503" i="2" s="1"/>
  <c r="K503" i="2" s="1"/>
  <c r="I504" i="2"/>
  <c r="I505" i="2"/>
  <c r="I506" i="2"/>
  <c r="J506" i="2" s="1"/>
  <c r="K506" i="2" s="1"/>
  <c r="I507" i="2"/>
  <c r="J507" i="2" s="1"/>
  <c r="K507" i="2" s="1"/>
  <c r="I508" i="2"/>
  <c r="J508" i="2" s="1"/>
  <c r="K508" i="2" s="1"/>
  <c r="I509" i="2"/>
  <c r="J509" i="2" s="1"/>
  <c r="K509" i="2" s="1"/>
  <c r="I510" i="2"/>
  <c r="J510" i="2" s="1"/>
  <c r="K510" i="2" s="1"/>
  <c r="I511" i="2"/>
  <c r="J511" i="2" s="1"/>
  <c r="K511" i="2" s="1"/>
  <c r="I512" i="2"/>
  <c r="J512" i="2" s="1"/>
  <c r="K512" i="2" s="1"/>
  <c r="I513" i="2"/>
  <c r="J513" i="2" s="1"/>
  <c r="K513" i="2" s="1"/>
  <c r="I514" i="2"/>
  <c r="J514" i="2" s="1"/>
  <c r="K514" i="2" s="1"/>
  <c r="I515" i="2"/>
  <c r="J515" i="2" s="1"/>
  <c r="K515" i="2" s="1"/>
  <c r="I516" i="2"/>
  <c r="J516" i="2" s="1"/>
  <c r="K516" i="2" s="1"/>
  <c r="I517" i="2"/>
  <c r="J517" i="2" s="1"/>
  <c r="K517" i="2" s="1"/>
  <c r="I518" i="2"/>
  <c r="J518" i="2" s="1"/>
  <c r="K518" i="2" s="1"/>
  <c r="I519" i="2"/>
  <c r="J519" i="2" s="1"/>
  <c r="K519" i="2" s="1"/>
  <c r="I520" i="2"/>
  <c r="J520" i="2" s="1"/>
  <c r="K520" i="2" s="1"/>
  <c r="I521" i="2"/>
  <c r="J521" i="2" s="1"/>
  <c r="K521" i="2" s="1"/>
  <c r="I522" i="2"/>
  <c r="J522" i="2" s="1"/>
  <c r="K522" i="2" s="1"/>
  <c r="I523" i="2"/>
  <c r="J523" i="2" s="1"/>
  <c r="K523" i="2" s="1"/>
  <c r="I524" i="2"/>
  <c r="J524" i="2" s="1"/>
  <c r="K524" i="2" s="1"/>
  <c r="I525" i="2"/>
  <c r="J525" i="2" s="1"/>
  <c r="K525" i="2" s="1"/>
  <c r="I526" i="2"/>
  <c r="J526" i="2" s="1"/>
  <c r="K526" i="2" s="1"/>
  <c r="I527" i="2"/>
  <c r="J527" i="2" s="1"/>
  <c r="K527" i="2" s="1"/>
  <c r="I528" i="2"/>
  <c r="I529" i="2"/>
  <c r="I530" i="2"/>
  <c r="I531" i="2"/>
  <c r="J531" i="2" s="1"/>
  <c r="K531" i="2" s="1"/>
  <c r="I532" i="2"/>
  <c r="J532" i="2" s="1"/>
  <c r="K532" i="2" s="1"/>
  <c r="I533" i="2"/>
  <c r="J533" i="2" s="1"/>
  <c r="K533" i="2" s="1"/>
  <c r="I534" i="2"/>
  <c r="J534" i="2" s="1"/>
  <c r="K534" i="2" s="1"/>
  <c r="I535" i="2"/>
  <c r="J535" i="2" s="1"/>
  <c r="K535" i="2" s="1"/>
  <c r="I536" i="2"/>
  <c r="J536" i="2" s="1"/>
  <c r="K536" i="2" s="1"/>
  <c r="I537" i="2"/>
  <c r="J537" i="2" s="1"/>
  <c r="K537" i="2" s="1"/>
  <c r="I538" i="2"/>
  <c r="J538" i="2" s="1"/>
  <c r="K538" i="2" s="1"/>
  <c r="I539" i="2"/>
  <c r="J539" i="2" s="1"/>
  <c r="K539" i="2" s="1"/>
  <c r="I540" i="2"/>
  <c r="I541" i="2"/>
  <c r="J541" i="2" s="1"/>
  <c r="K541" i="2" s="1"/>
  <c r="I542" i="2"/>
  <c r="J542" i="2" s="1"/>
  <c r="K542" i="2" s="1"/>
  <c r="I543" i="2"/>
  <c r="J543" i="2" s="1"/>
  <c r="K543" i="2" s="1"/>
  <c r="I544" i="2"/>
  <c r="J544" i="2" s="1"/>
  <c r="K544" i="2" s="1"/>
  <c r="I545" i="2"/>
  <c r="J545" i="2" s="1"/>
  <c r="K545" i="2" s="1"/>
  <c r="I546" i="2"/>
  <c r="J546" i="2" s="1"/>
  <c r="K546" i="2" s="1"/>
  <c r="I547" i="2"/>
  <c r="J547" i="2" s="1"/>
  <c r="K547" i="2" s="1"/>
  <c r="I548" i="2"/>
  <c r="J548" i="2" s="1"/>
  <c r="K548" i="2" s="1"/>
  <c r="I549" i="2"/>
  <c r="J549" i="2" s="1"/>
  <c r="K549" i="2" s="1"/>
  <c r="I550" i="2"/>
  <c r="J550" i="2" s="1"/>
  <c r="K550" i="2" s="1"/>
  <c r="I551" i="2"/>
  <c r="J551" i="2" s="1"/>
  <c r="K551" i="2" s="1"/>
  <c r="I552" i="2"/>
  <c r="I553" i="2"/>
  <c r="I554" i="2"/>
  <c r="J554" i="2" s="1"/>
  <c r="K554" i="2" s="1"/>
  <c r="I555" i="2"/>
  <c r="J555" i="2" s="1"/>
  <c r="K555" i="2" s="1"/>
  <c r="I556" i="2"/>
  <c r="J556" i="2" s="1"/>
  <c r="K556" i="2" s="1"/>
  <c r="I557" i="2"/>
  <c r="J557" i="2" s="1"/>
  <c r="K557" i="2" s="1"/>
  <c r="I558" i="2"/>
  <c r="J558" i="2" s="1"/>
  <c r="K558" i="2" s="1"/>
  <c r="I559" i="2"/>
  <c r="J559" i="2" s="1"/>
  <c r="K559" i="2" s="1"/>
  <c r="I560" i="2"/>
  <c r="J560" i="2" s="1"/>
  <c r="K560" i="2" s="1"/>
  <c r="I561" i="2"/>
  <c r="J561" i="2" s="1"/>
  <c r="K561" i="2" s="1"/>
  <c r="I562" i="2"/>
  <c r="J562" i="2" s="1"/>
  <c r="K562" i="2" s="1"/>
  <c r="I563" i="2"/>
  <c r="J563" i="2" s="1"/>
  <c r="K563" i="2" s="1"/>
  <c r="I564" i="2"/>
  <c r="J564" i="2" s="1"/>
  <c r="K564" i="2" s="1"/>
  <c r="I565" i="2"/>
  <c r="J565" i="2" s="1"/>
  <c r="K565" i="2" s="1"/>
  <c r="I566" i="2"/>
  <c r="J566" i="2" s="1"/>
  <c r="K566" i="2" s="1"/>
  <c r="I567" i="2"/>
  <c r="J567" i="2" s="1"/>
  <c r="K567" i="2" s="1"/>
  <c r="I568" i="2"/>
  <c r="J568" i="2" s="1"/>
  <c r="K568" i="2" s="1"/>
  <c r="I569" i="2"/>
  <c r="J569" i="2" s="1"/>
  <c r="K569" i="2" s="1"/>
  <c r="I570" i="2"/>
  <c r="J570" i="2" s="1"/>
  <c r="K570" i="2" s="1"/>
  <c r="I571" i="2"/>
  <c r="J571" i="2" s="1"/>
  <c r="K571" i="2" s="1"/>
  <c r="I572" i="2"/>
  <c r="J572" i="2" s="1"/>
  <c r="K572" i="2" s="1"/>
  <c r="I573" i="2"/>
  <c r="J573" i="2" s="1"/>
  <c r="K573" i="2" s="1"/>
  <c r="I574" i="2"/>
  <c r="J574" i="2" s="1"/>
  <c r="K574" i="2" s="1"/>
  <c r="I575" i="2"/>
  <c r="J575" i="2" s="1"/>
  <c r="K575" i="2" s="1"/>
  <c r="I576" i="2"/>
  <c r="J576" i="2" s="1"/>
  <c r="K576" i="2" s="1"/>
  <c r="I577" i="2"/>
  <c r="J577" i="2" s="1"/>
  <c r="K577" i="2" s="1"/>
  <c r="I578" i="2"/>
  <c r="J578" i="2" s="1"/>
  <c r="K578" i="2" s="1"/>
  <c r="I579" i="2"/>
  <c r="J579" i="2" s="1"/>
  <c r="K579" i="2" s="1"/>
  <c r="I580" i="2"/>
  <c r="J580" i="2" s="1"/>
  <c r="K580" i="2" s="1"/>
  <c r="I581" i="2"/>
  <c r="J581" i="2" s="1"/>
  <c r="K581" i="2" s="1"/>
  <c r="I582" i="2"/>
  <c r="J582" i="2" s="1"/>
  <c r="K582" i="2" s="1"/>
  <c r="I583" i="2"/>
  <c r="J583" i="2" s="1"/>
  <c r="K583" i="2" s="1"/>
  <c r="I584" i="2"/>
  <c r="J584" i="2" s="1"/>
  <c r="K584" i="2" s="1"/>
  <c r="I585" i="2"/>
  <c r="J585" i="2" s="1"/>
  <c r="K585" i="2" s="1"/>
  <c r="I586" i="2"/>
  <c r="J586" i="2" s="1"/>
  <c r="K586" i="2" s="1"/>
  <c r="I587" i="2"/>
  <c r="J587" i="2" s="1"/>
  <c r="K587" i="2" s="1"/>
  <c r="I588" i="2"/>
  <c r="J588" i="2" s="1"/>
  <c r="K588" i="2" s="1"/>
  <c r="I589" i="2"/>
  <c r="J589" i="2" s="1"/>
  <c r="K589" i="2" s="1"/>
  <c r="I590" i="2"/>
  <c r="J590" i="2" s="1"/>
  <c r="K590" i="2" s="1"/>
  <c r="I591" i="2"/>
  <c r="J591" i="2" s="1"/>
  <c r="K591" i="2" s="1"/>
  <c r="I592" i="2"/>
  <c r="I593" i="2"/>
  <c r="I594" i="2"/>
  <c r="I595" i="2"/>
  <c r="J595" i="2" s="1"/>
  <c r="K595" i="2" s="1"/>
  <c r="I596" i="2"/>
  <c r="J596" i="2" s="1"/>
  <c r="K596" i="2" s="1"/>
  <c r="I597" i="2"/>
  <c r="J597" i="2" s="1"/>
  <c r="K597" i="2" s="1"/>
  <c r="I598" i="2"/>
  <c r="J598" i="2" s="1"/>
  <c r="K598" i="2" s="1"/>
  <c r="I599" i="2"/>
  <c r="J599" i="2" s="1"/>
  <c r="K599" i="2" s="1"/>
  <c r="I600" i="2"/>
  <c r="J600" i="2" s="1"/>
  <c r="K600" i="2" s="1"/>
  <c r="I601" i="2"/>
  <c r="J601" i="2" s="1"/>
  <c r="K601" i="2" s="1"/>
  <c r="I602" i="2"/>
  <c r="J602" i="2" s="1"/>
  <c r="K602" i="2" s="1"/>
  <c r="I603" i="2"/>
  <c r="J603" i="2" s="1"/>
  <c r="K603" i="2" s="1"/>
  <c r="I604" i="2"/>
  <c r="I605" i="2"/>
  <c r="J605" i="2" s="1"/>
  <c r="K605" i="2" s="1"/>
  <c r="I606" i="2"/>
  <c r="J606" i="2" s="1"/>
  <c r="K606" i="2" s="1"/>
  <c r="I607" i="2"/>
  <c r="J607" i="2" s="1"/>
  <c r="K607" i="2" s="1"/>
  <c r="I608" i="2"/>
  <c r="J608" i="2" s="1"/>
  <c r="K608" i="2" s="1"/>
  <c r="I609" i="2"/>
  <c r="J609" i="2" s="1"/>
  <c r="K609" i="2" s="1"/>
  <c r="I610" i="2"/>
  <c r="J610" i="2" s="1"/>
  <c r="K610" i="2" s="1"/>
  <c r="I611" i="2"/>
  <c r="J611" i="2" s="1"/>
  <c r="K611" i="2" s="1"/>
  <c r="I612" i="2"/>
  <c r="J612" i="2" s="1"/>
  <c r="K612" i="2" s="1"/>
  <c r="I613" i="2"/>
  <c r="J613" i="2" s="1"/>
  <c r="K613" i="2" s="1"/>
  <c r="I614" i="2"/>
  <c r="J614" i="2" s="1"/>
  <c r="K614" i="2" s="1"/>
  <c r="I615" i="2"/>
  <c r="J615" i="2" s="1"/>
  <c r="K615" i="2" s="1"/>
  <c r="I616" i="2"/>
  <c r="I617" i="2"/>
  <c r="J617" i="2" s="1"/>
  <c r="K617" i="2" s="1"/>
  <c r="I618" i="2"/>
  <c r="J618" i="2" s="1"/>
  <c r="K618" i="2" s="1"/>
  <c r="I619" i="2"/>
  <c r="J619" i="2" s="1"/>
  <c r="K619" i="2" s="1"/>
  <c r="I620" i="2"/>
  <c r="I621" i="2"/>
  <c r="J621" i="2" s="1"/>
  <c r="K621" i="2" s="1"/>
  <c r="I622" i="2"/>
  <c r="J622" i="2" s="1"/>
  <c r="K622" i="2" s="1"/>
  <c r="I623" i="2"/>
  <c r="J623" i="2" s="1"/>
  <c r="K623" i="2" s="1"/>
  <c r="I624" i="2"/>
  <c r="J624" i="2" s="1"/>
  <c r="K624" i="2" s="1"/>
  <c r="I625" i="2"/>
  <c r="J625" i="2" s="1"/>
  <c r="K625" i="2" s="1"/>
  <c r="I626" i="2"/>
  <c r="J626" i="2" s="1"/>
  <c r="K626" i="2" s="1"/>
  <c r="I627" i="2"/>
  <c r="J627" i="2" s="1"/>
  <c r="K627" i="2" s="1"/>
  <c r="I628" i="2"/>
  <c r="J628" i="2" s="1"/>
  <c r="K628" i="2" s="1"/>
  <c r="I629" i="2"/>
  <c r="J629" i="2" s="1"/>
  <c r="K629" i="2" s="1"/>
  <c r="I630" i="2"/>
  <c r="J630" i="2" s="1"/>
  <c r="K630" i="2" s="1"/>
  <c r="I631" i="2"/>
  <c r="J631" i="2" s="1"/>
  <c r="K631" i="2" s="1"/>
  <c r="I632" i="2"/>
  <c r="I633" i="2"/>
  <c r="I634" i="2"/>
  <c r="I635" i="2"/>
  <c r="J635" i="2" s="1"/>
  <c r="K635" i="2" s="1"/>
  <c r="I636" i="2"/>
  <c r="J636" i="2" s="1"/>
  <c r="K636" i="2" s="1"/>
  <c r="I637" i="2"/>
  <c r="J637" i="2" s="1"/>
  <c r="K637" i="2" s="1"/>
  <c r="I638" i="2"/>
  <c r="J638" i="2" s="1"/>
  <c r="K638" i="2" s="1"/>
  <c r="I639" i="2"/>
  <c r="J639" i="2" s="1"/>
  <c r="K639" i="2" s="1"/>
  <c r="I640" i="2"/>
  <c r="J640" i="2" s="1"/>
  <c r="K640" i="2" s="1"/>
  <c r="I641" i="2"/>
  <c r="J641" i="2" s="1"/>
  <c r="K641" i="2" s="1"/>
  <c r="I642" i="2"/>
  <c r="J642" i="2" s="1"/>
  <c r="K642" i="2" s="1"/>
  <c r="I643" i="2"/>
  <c r="J643" i="2" s="1"/>
  <c r="K643" i="2" s="1"/>
  <c r="I644" i="2"/>
  <c r="I645" i="2"/>
  <c r="J645" i="2" s="1"/>
  <c r="K645" i="2" s="1"/>
  <c r="I646" i="2"/>
  <c r="J646" i="2" s="1"/>
  <c r="K646" i="2" s="1"/>
  <c r="I647" i="2"/>
  <c r="J647" i="2" s="1"/>
  <c r="K647" i="2" s="1"/>
  <c r="I648" i="2"/>
  <c r="J648" i="2" s="1"/>
  <c r="K648" i="2" s="1"/>
  <c r="I649" i="2"/>
  <c r="J649" i="2" s="1"/>
  <c r="K649" i="2" s="1"/>
  <c r="I650" i="2"/>
  <c r="J650" i="2" s="1"/>
  <c r="K650" i="2" s="1"/>
  <c r="I651" i="2"/>
  <c r="J651" i="2" s="1"/>
  <c r="K651" i="2" s="1"/>
  <c r="I652" i="2"/>
  <c r="J652" i="2" s="1"/>
  <c r="K652" i="2" s="1"/>
  <c r="I653" i="2"/>
  <c r="J653" i="2" s="1"/>
  <c r="K653" i="2" s="1"/>
  <c r="I654" i="2"/>
  <c r="J654" i="2" s="1"/>
  <c r="K654" i="2" s="1"/>
  <c r="I655" i="2"/>
  <c r="J655" i="2" s="1"/>
  <c r="K655" i="2" s="1"/>
  <c r="I656" i="2"/>
  <c r="I657" i="2"/>
  <c r="I658" i="2"/>
  <c r="J658" i="2" s="1"/>
  <c r="K658" i="2" s="1"/>
  <c r="I659" i="2"/>
  <c r="J659" i="2" s="1"/>
  <c r="K659" i="2" s="1"/>
  <c r="I660" i="2"/>
  <c r="J660" i="2" s="1"/>
  <c r="K660" i="2" s="1"/>
  <c r="I661" i="2"/>
  <c r="J661" i="2" s="1"/>
  <c r="K661" i="2" s="1"/>
  <c r="I662" i="2"/>
  <c r="J662" i="2" s="1"/>
  <c r="K662" i="2" s="1"/>
  <c r="I663" i="2"/>
  <c r="J663" i="2" s="1"/>
  <c r="K663" i="2" s="1"/>
  <c r="I664" i="2"/>
  <c r="J664" i="2" s="1"/>
  <c r="K664" i="2" s="1"/>
  <c r="I665" i="2"/>
  <c r="J665" i="2" s="1"/>
  <c r="K665" i="2" s="1"/>
  <c r="I666" i="2"/>
  <c r="J666" i="2" s="1"/>
  <c r="K666" i="2" s="1"/>
  <c r="I667" i="2"/>
  <c r="J667" i="2" s="1"/>
  <c r="K667" i="2" s="1"/>
  <c r="I668" i="2"/>
  <c r="I669" i="2"/>
  <c r="J669" i="2" s="1"/>
  <c r="K669" i="2" s="1"/>
  <c r="I670" i="2"/>
  <c r="J670" i="2" s="1"/>
  <c r="K670" i="2" s="1"/>
  <c r="I671" i="2"/>
  <c r="J671" i="2" s="1"/>
  <c r="K671" i="2" s="1"/>
  <c r="I672" i="2"/>
  <c r="I673" i="2"/>
  <c r="I674" i="2"/>
  <c r="I675" i="2"/>
  <c r="J675" i="2" s="1"/>
  <c r="K675" i="2" s="1"/>
  <c r="I676" i="2"/>
  <c r="J676" i="2" s="1"/>
  <c r="K676" i="2" s="1"/>
  <c r="I677" i="2"/>
  <c r="J677" i="2" s="1"/>
  <c r="K677" i="2" s="1"/>
  <c r="I678" i="2"/>
  <c r="J678" i="2" s="1"/>
  <c r="K678" i="2" s="1"/>
  <c r="I679" i="2"/>
  <c r="J679" i="2" s="1"/>
  <c r="K679" i="2" s="1"/>
  <c r="I680" i="2"/>
  <c r="J680" i="2" s="1"/>
  <c r="K680" i="2" s="1"/>
  <c r="I681" i="2"/>
  <c r="J681" i="2" s="1"/>
  <c r="K681" i="2" s="1"/>
  <c r="I682" i="2"/>
  <c r="J682" i="2" s="1"/>
  <c r="K682" i="2" s="1"/>
  <c r="I683" i="2"/>
  <c r="J683" i="2" s="1"/>
  <c r="K683" i="2" s="1"/>
  <c r="I684" i="2"/>
  <c r="I685" i="2"/>
  <c r="J685" i="2" s="1"/>
  <c r="K685" i="2" s="1"/>
  <c r="I686" i="2"/>
  <c r="J686" i="2" s="1"/>
  <c r="K686" i="2" s="1"/>
  <c r="I687" i="2"/>
  <c r="J687" i="2" s="1"/>
  <c r="K687" i="2" s="1"/>
  <c r="I688" i="2"/>
  <c r="I689" i="2"/>
  <c r="J689" i="2" s="1"/>
  <c r="K689" i="2" s="1"/>
  <c r="I690" i="2"/>
  <c r="J690" i="2" s="1"/>
  <c r="K690" i="2" s="1"/>
  <c r="I691" i="2"/>
  <c r="J691" i="2" s="1"/>
  <c r="K691" i="2" s="1"/>
  <c r="I692" i="2"/>
  <c r="J692" i="2" s="1"/>
  <c r="K692" i="2" s="1"/>
  <c r="I693" i="2"/>
  <c r="J693" i="2" s="1"/>
  <c r="K693" i="2" s="1"/>
  <c r="I694" i="2"/>
  <c r="J694" i="2" s="1"/>
  <c r="K694" i="2" s="1"/>
  <c r="I695" i="2"/>
  <c r="J695" i="2" s="1"/>
  <c r="K695" i="2" s="1"/>
  <c r="I696" i="2"/>
  <c r="I697" i="2"/>
  <c r="I698" i="2"/>
  <c r="J698" i="2" s="1"/>
  <c r="K698" i="2" s="1"/>
  <c r="I699" i="2"/>
  <c r="J699" i="2" s="1"/>
  <c r="K699" i="2" s="1"/>
  <c r="I700" i="2"/>
  <c r="J700" i="2" s="1"/>
  <c r="K700" i="2" s="1"/>
  <c r="I701" i="2"/>
  <c r="J701" i="2" s="1"/>
  <c r="K701" i="2" s="1"/>
  <c r="I702" i="2"/>
  <c r="J702" i="2" s="1"/>
  <c r="K702" i="2" s="1"/>
  <c r="I703" i="2"/>
  <c r="J703" i="2" s="1"/>
  <c r="K703" i="2" s="1"/>
  <c r="I704" i="2"/>
  <c r="J704" i="2" s="1"/>
  <c r="K704" i="2" s="1"/>
  <c r="I705" i="2"/>
  <c r="J705" i="2" s="1"/>
  <c r="K705" i="2" s="1"/>
  <c r="I706" i="2"/>
  <c r="J706" i="2" s="1"/>
  <c r="K706" i="2" s="1"/>
  <c r="I707" i="2"/>
  <c r="J707" i="2" s="1"/>
  <c r="K707" i="2" s="1"/>
  <c r="I708" i="2"/>
  <c r="I709" i="2"/>
  <c r="J709" i="2" s="1"/>
  <c r="K709" i="2" s="1"/>
  <c r="I710" i="2"/>
  <c r="J710" i="2" s="1"/>
  <c r="K710" i="2" s="1"/>
  <c r="I711" i="2"/>
  <c r="J711" i="2" s="1"/>
  <c r="K711" i="2" s="1"/>
  <c r="I712" i="2"/>
  <c r="I713" i="2"/>
  <c r="I714" i="2"/>
  <c r="J714" i="2" s="1"/>
  <c r="K714" i="2" s="1"/>
  <c r="I715" i="2"/>
  <c r="J715" i="2" s="1"/>
  <c r="K715" i="2" s="1"/>
  <c r="I716" i="2"/>
  <c r="J716" i="2" s="1"/>
  <c r="K716" i="2" s="1"/>
  <c r="I717" i="2"/>
  <c r="J717" i="2" s="1"/>
  <c r="K717" i="2" s="1"/>
  <c r="I718" i="2"/>
  <c r="J718" i="2" s="1"/>
  <c r="K718" i="2" s="1"/>
  <c r="I719" i="2"/>
  <c r="J719" i="2" s="1"/>
  <c r="K719" i="2" s="1"/>
  <c r="I720" i="2"/>
  <c r="I721" i="2"/>
  <c r="J721" i="2" s="1"/>
  <c r="K721" i="2" s="1"/>
  <c r="I722" i="2"/>
  <c r="J722" i="2" s="1"/>
  <c r="K722" i="2" s="1"/>
  <c r="I723" i="2"/>
  <c r="J723" i="2" s="1"/>
  <c r="K723" i="2" s="1"/>
  <c r="I724" i="2"/>
  <c r="I725" i="2"/>
  <c r="J725" i="2" s="1"/>
  <c r="K725" i="2" s="1"/>
  <c r="I726" i="2"/>
  <c r="J726" i="2" s="1"/>
  <c r="K726" i="2" s="1"/>
  <c r="I727" i="2"/>
  <c r="J727" i="2" s="1"/>
  <c r="K727" i="2" s="1"/>
  <c r="I728" i="2"/>
  <c r="J728" i="2" s="1"/>
  <c r="K728" i="2" s="1"/>
  <c r="I729" i="2"/>
  <c r="J729" i="2" s="1"/>
  <c r="K729" i="2" s="1"/>
  <c r="I730" i="2"/>
  <c r="J730" i="2" s="1"/>
  <c r="K730" i="2" s="1"/>
  <c r="I731" i="2"/>
  <c r="J731" i="2" s="1"/>
  <c r="K731" i="2" s="1"/>
  <c r="I732" i="2"/>
  <c r="J732" i="2" s="1"/>
  <c r="K732" i="2" s="1"/>
  <c r="I733" i="2"/>
  <c r="J733" i="2" s="1"/>
  <c r="K733" i="2" s="1"/>
  <c r="I734" i="2"/>
  <c r="J734" i="2" s="1"/>
  <c r="K734" i="2" s="1"/>
  <c r="I735" i="2"/>
  <c r="J735" i="2" s="1"/>
  <c r="K735" i="2" s="1"/>
  <c r="I736" i="2"/>
  <c r="I737" i="2"/>
  <c r="I738" i="2"/>
  <c r="I739" i="2"/>
  <c r="J739" i="2" s="1"/>
  <c r="K739" i="2" s="1"/>
  <c r="I740" i="2"/>
  <c r="J740" i="2" s="1"/>
  <c r="K740" i="2" s="1"/>
  <c r="I741" i="2"/>
  <c r="J741" i="2" s="1"/>
  <c r="K741" i="2" s="1"/>
  <c r="I742" i="2"/>
  <c r="J742" i="2" s="1"/>
  <c r="K742" i="2" s="1"/>
  <c r="I743" i="2"/>
  <c r="J743" i="2" s="1"/>
  <c r="K743" i="2" s="1"/>
  <c r="I744" i="2"/>
  <c r="J744" i="2" s="1"/>
  <c r="K744" i="2" s="1"/>
  <c r="I745" i="2"/>
  <c r="J745" i="2" s="1"/>
  <c r="K745" i="2" s="1"/>
  <c r="I746" i="2"/>
  <c r="J746" i="2" s="1"/>
  <c r="K746" i="2" s="1"/>
  <c r="I747" i="2"/>
  <c r="J747" i="2" s="1"/>
  <c r="K747" i="2" s="1"/>
  <c r="I748" i="2"/>
  <c r="J748" i="2" s="1"/>
  <c r="K748" i="2" s="1"/>
  <c r="I749" i="2"/>
  <c r="J749" i="2" s="1"/>
  <c r="K749" i="2" s="1"/>
  <c r="I750" i="2"/>
  <c r="J750" i="2" s="1"/>
  <c r="K750" i="2" s="1"/>
  <c r="I751" i="2"/>
  <c r="J751" i="2" s="1"/>
  <c r="K751" i="2" s="1"/>
  <c r="I752" i="2"/>
  <c r="J752" i="2" s="1"/>
  <c r="K752" i="2" s="1"/>
  <c r="I753" i="2"/>
  <c r="J753" i="2" s="1"/>
  <c r="K753" i="2" s="1"/>
  <c r="I754" i="2"/>
  <c r="J754" i="2" s="1"/>
  <c r="K754" i="2" s="1"/>
  <c r="I755" i="2"/>
  <c r="J755" i="2" s="1"/>
  <c r="K755" i="2" s="1"/>
  <c r="I756" i="2"/>
  <c r="J756" i="2" s="1"/>
  <c r="K756" i="2" s="1"/>
  <c r="I757" i="2"/>
  <c r="J757" i="2" s="1"/>
  <c r="K757" i="2" s="1"/>
  <c r="I758" i="2"/>
  <c r="J758" i="2" s="1"/>
  <c r="K758" i="2" s="1"/>
  <c r="I759" i="2"/>
  <c r="J759" i="2" s="1"/>
  <c r="K759" i="2" s="1"/>
  <c r="I760" i="2"/>
  <c r="I761" i="2"/>
  <c r="I762" i="2"/>
  <c r="I763" i="2"/>
  <c r="J763" i="2" s="1"/>
  <c r="K763" i="2" s="1"/>
  <c r="I764" i="2"/>
  <c r="J764" i="2" s="1"/>
  <c r="K764" i="2" s="1"/>
  <c r="I765" i="2"/>
  <c r="J765" i="2" s="1"/>
  <c r="K765" i="2" s="1"/>
  <c r="I766" i="2"/>
  <c r="J766" i="2" s="1"/>
  <c r="K766" i="2" s="1"/>
  <c r="I767" i="2"/>
  <c r="J767" i="2" s="1"/>
  <c r="K767" i="2" s="1"/>
  <c r="I768" i="2"/>
  <c r="J768" i="2" s="1"/>
  <c r="K768" i="2" s="1"/>
  <c r="I769" i="2"/>
  <c r="J769" i="2" s="1"/>
  <c r="K769" i="2" s="1"/>
  <c r="I770" i="2"/>
  <c r="J770" i="2" s="1"/>
  <c r="K770" i="2" s="1"/>
  <c r="I771" i="2"/>
  <c r="J771" i="2" s="1"/>
  <c r="K771" i="2" s="1"/>
  <c r="I772" i="2"/>
  <c r="J772" i="2" s="1"/>
  <c r="K772" i="2" s="1"/>
  <c r="I773" i="2"/>
  <c r="J773" i="2" s="1"/>
  <c r="K773" i="2" s="1"/>
  <c r="I774" i="2"/>
  <c r="J774" i="2" s="1"/>
  <c r="K774" i="2" s="1"/>
  <c r="I775" i="2"/>
  <c r="J775" i="2" s="1"/>
  <c r="K775" i="2" s="1"/>
  <c r="I776" i="2"/>
  <c r="J776" i="2" s="1"/>
  <c r="K776" i="2" s="1"/>
  <c r="I777" i="2"/>
  <c r="J777" i="2" s="1"/>
  <c r="K777" i="2" s="1"/>
  <c r="I778" i="2"/>
  <c r="J778" i="2" s="1"/>
  <c r="K778" i="2" s="1"/>
  <c r="I779" i="2"/>
  <c r="J779" i="2" s="1"/>
  <c r="K779" i="2" s="1"/>
  <c r="I780" i="2"/>
  <c r="J780" i="2" s="1"/>
  <c r="K780" i="2" s="1"/>
  <c r="I781" i="2"/>
  <c r="J781" i="2" s="1"/>
  <c r="K781" i="2" s="1"/>
  <c r="I782" i="2"/>
  <c r="J782" i="2" s="1"/>
  <c r="K782" i="2" s="1"/>
  <c r="I783" i="2"/>
  <c r="J783" i="2" s="1"/>
  <c r="K783" i="2" s="1"/>
  <c r="I784" i="2"/>
  <c r="I785" i="2"/>
  <c r="I786" i="2"/>
  <c r="I787" i="2"/>
  <c r="J787" i="2" s="1"/>
  <c r="K787" i="2" s="1"/>
  <c r="I788" i="2"/>
  <c r="J788" i="2" s="1"/>
  <c r="K788" i="2" s="1"/>
  <c r="I789" i="2"/>
  <c r="J789" i="2" s="1"/>
  <c r="K789" i="2" s="1"/>
  <c r="I790" i="2"/>
  <c r="J790" i="2" s="1"/>
  <c r="K790" i="2" s="1"/>
  <c r="I791" i="2"/>
  <c r="J791" i="2" s="1"/>
  <c r="K791" i="2" s="1"/>
  <c r="I792" i="2"/>
  <c r="J792" i="2" s="1"/>
  <c r="K792" i="2" s="1"/>
  <c r="I793" i="2"/>
  <c r="J793" i="2" s="1"/>
  <c r="K793" i="2" s="1"/>
  <c r="I794" i="2"/>
  <c r="J794" i="2" s="1"/>
  <c r="K794" i="2" s="1"/>
  <c r="I795" i="2"/>
  <c r="J795" i="2" s="1"/>
  <c r="K795" i="2" s="1"/>
  <c r="I796" i="2"/>
  <c r="J796" i="2" s="1"/>
  <c r="K796" i="2" s="1"/>
  <c r="I797" i="2"/>
  <c r="J797" i="2" s="1"/>
  <c r="K797" i="2" s="1"/>
  <c r="I798" i="2"/>
  <c r="J798" i="2" s="1"/>
  <c r="K798" i="2" s="1"/>
  <c r="I799" i="2"/>
  <c r="J799" i="2" s="1"/>
  <c r="K799" i="2" s="1"/>
  <c r="I800" i="2"/>
  <c r="J800" i="2" s="1"/>
  <c r="K800" i="2" s="1"/>
  <c r="I801" i="2"/>
  <c r="J801" i="2" s="1"/>
  <c r="K801" i="2" s="1"/>
  <c r="I802" i="2"/>
  <c r="J802" i="2" s="1"/>
  <c r="K802" i="2" s="1"/>
  <c r="I803" i="2"/>
  <c r="J803" i="2" s="1"/>
  <c r="K803" i="2" s="1"/>
  <c r="I804" i="2"/>
  <c r="J804" i="2" s="1"/>
  <c r="K804" i="2" s="1"/>
  <c r="I805" i="2"/>
  <c r="J805" i="2" s="1"/>
  <c r="K805" i="2" s="1"/>
  <c r="I806" i="2"/>
  <c r="J806" i="2" s="1"/>
  <c r="K806" i="2" s="1"/>
  <c r="I807" i="2"/>
  <c r="J807" i="2" s="1"/>
  <c r="K807" i="2" s="1"/>
  <c r="I808" i="2"/>
  <c r="I809" i="2"/>
  <c r="I810" i="2"/>
  <c r="J810" i="2" s="1"/>
  <c r="K810" i="2" s="1"/>
  <c r="I811" i="2"/>
  <c r="J811" i="2" s="1"/>
  <c r="K811" i="2" s="1"/>
  <c r="I812" i="2"/>
  <c r="J812" i="2" s="1"/>
  <c r="K812" i="2" s="1"/>
  <c r="I813" i="2"/>
  <c r="J813" i="2" s="1"/>
  <c r="K813" i="2" s="1"/>
  <c r="I814" i="2"/>
  <c r="J814" i="2" s="1"/>
  <c r="K814" i="2" s="1"/>
  <c r="I815" i="2"/>
  <c r="J815" i="2" s="1"/>
  <c r="K815" i="2" s="1"/>
  <c r="I816" i="2"/>
  <c r="J816" i="2" s="1"/>
  <c r="K816" i="2" s="1"/>
  <c r="I817" i="2"/>
  <c r="J817" i="2" s="1"/>
  <c r="K817" i="2" s="1"/>
  <c r="I818" i="2"/>
  <c r="J818" i="2" s="1"/>
  <c r="K818" i="2" s="1"/>
  <c r="I819" i="2"/>
  <c r="J819" i="2" s="1"/>
  <c r="K819" i="2" s="1"/>
  <c r="I820" i="2"/>
  <c r="J820" i="2" s="1"/>
  <c r="K820" i="2" s="1"/>
  <c r="I821" i="2"/>
  <c r="J821" i="2" s="1"/>
  <c r="K821" i="2" s="1"/>
  <c r="I822" i="2"/>
  <c r="J822" i="2" s="1"/>
  <c r="K822" i="2" s="1"/>
  <c r="I823" i="2"/>
  <c r="J823" i="2" s="1"/>
  <c r="K823" i="2" s="1"/>
  <c r="I824" i="2"/>
  <c r="J824" i="2" s="1"/>
  <c r="K824" i="2" s="1"/>
  <c r="I825" i="2"/>
  <c r="J825" i="2" s="1"/>
  <c r="K825" i="2" s="1"/>
  <c r="I826" i="2"/>
  <c r="J826" i="2" s="1"/>
  <c r="K826" i="2" s="1"/>
  <c r="I827" i="2"/>
  <c r="J827" i="2" s="1"/>
  <c r="K827" i="2" s="1"/>
  <c r="I828" i="2"/>
  <c r="J828" i="2" s="1"/>
  <c r="K828" i="2" s="1"/>
  <c r="I829" i="2"/>
  <c r="J829" i="2" s="1"/>
  <c r="K829" i="2" s="1"/>
  <c r="I830" i="2"/>
  <c r="J830" i="2" s="1"/>
  <c r="K830" i="2" s="1"/>
  <c r="I831" i="2"/>
  <c r="J831" i="2" s="1"/>
  <c r="K831" i="2" s="1"/>
  <c r="I832" i="2"/>
  <c r="I833" i="2"/>
  <c r="J833" i="2" s="1"/>
  <c r="K833" i="2" s="1"/>
  <c r="I834" i="2"/>
  <c r="J834" i="2" s="1"/>
  <c r="K834" i="2" s="1"/>
  <c r="I835" i="2"/>
  <c r="J835" i="2" s="1"/>
  <c r="K835" i="2" s="1"/>
  <c r="I836" i="2"/>
  <c r="J836" i="2" s="1"/>
  <c r="K836" i="2" s="1"/>
  <c r="I837" i="2"/>
  <c r="J837" i="2" s="1"/>
  <c r="K837" i="2" s="1"/>
  <c r="I838" i="2"/>
  <c r="J838" i="2" s="1"/>
  <c r="K838" i="2" s="1"/>
  <c r="I839" i="2"/>
  <c r="J839" i="2" s="1"/>
  <c r="K839" i="2" s="1"/>
  <c r="I840" i="2"/>
  <c r="I841" i="2"/>
  <c r="J841" i="2" s="1"/>
  <c r="K841" i="2" s="1"/>
  <c r="I842" i="2"/>
  <c r="J842" i="2" s="1"/>
  <c r="K842" i="2" s="1"/>
  <c r="I843" i="2"/>
  <c r="J843" i="2" s="1"/>
  <c r="K843" i="2" s="1"/>
  <c r="I844" i="2"/>
  <c r="J844" i="2" s="1"/>
  <c r="K844" i="2" s="1"/>
  <c r="I845" i="2"/>
  <c r="J845" i="2" s="1"/>
  <c r="K845" i="2" s="1"/>
  <c r="I846" i="2"/>
  <c r="J846" i="2" s="1"/>
  <c r="K846" i="2" s="1"/>
  <c r="I847" i="2"/>
  <c r="J847" i="2" s="1"/>
  <c r="K847" i="2" s="1"/>
  <c r="I848" i="2"/>
  <c r="J848" i="2" s="1"/>
  <c r="K848" i="2" s="1"/>
  <c r="I849" i="2"/>
  <c r="J849" i="2" s="1"/>
  <c r="K849" i="2" s="1"/>
  <c r="I850" i="2"/>
  <c r="J850" i="2" s="1"/>
  <c r="K850" i="2" s="1"/>
  <c r="I851" i="2"/>
  <c r="J851" i="2" s="1"/>
  <c r="K851" i="2" s="1"/>
  <c r="I852" i="2"/>
  <c r="J852" i="2" s="1"/>
  <c r="K852" i="2" s="1"/>
  <c r="I853" i="2"/>
  <c r="J853" i="2" s="1"/>
  <c r="K853" i="2" s="1"/>
  <c r="I854" i="2"/>
  <c r="J854" i="2" s="1"/>
  <c r="K854" i="2" s="1"/>
  <c r="I855" i="2"/>
  <c r="J855" i="2" s="1"/>
  <c r="K855" i="2" s="1"/>
  <c r="I856" i="2"/>
  <c r="I857" i="2"/>
  <c r="J857" i="2" s="1"/>
  <c r="K857" i="2" s="1"/>
  <c r="I858" i="2"/>
  <c r="J858" i="2" s="1"/>
  <c r="K858" i="2" s="1"/>
  <c r="I859" i="2"/>
  <c r="J859" i="2" s="1"/>
  <c r="K859" i="2" s="1"/>
  <c r="I860" i="2"/>
  <c r="I861" i="2"/>
  <c r="J861" i="2" s="1"/>
  <c r="K861" i="2" s="1"/>
  <c r="I862" i="2"/>
  <c r="J862" i="2" s="1"/>
  <c r="K862" i="2" s="1"/>
  <c r="I863" i="2"/>
  <c r="J863" i="2" s="1"/>
  <c r="K863" i="2" s="1"/>
  <c r="I864" i="2"/>
  <c r="J864" i="2" s="1"/>
  <c r="K864" i="2" s="1"/>
  <c r="I865" i="2"/>
  <c r="J865" i="2" s="1"/>
  <c r="K865" i="2" s="1"/>
  <c r="I866" i="2"/>
  <c r="J866" i="2" s="1"/>
  <c r="K866" i="2" s="1"/>
  <c r="I867" i="2"/>
  <c r="J867" i="2" s="1"/>
  <c r="K867" i="2" s="1"/>
  <c r="I868" i="2"/>
  <c r="J868" i="2" s="1"/>
  <c r="K868" i="2" s="1"/>
  <c r="I869" i="2"/>
  <c r="J869" i="2" s="1"/>
  <c r="K869" i="2" s="1"/>
  <c r="I870" i="2"/>
  <c r="J870" i="2" s="1"/>
  <c r="K870" i="2" s="1"/>
  <c r="I871" i="2"/>
  <c r="J871" i="2" s="1"/>
  <c r="K871" i="2" s="1"/>
  <c r="I872" i="2"/>
  <c r="J872" i="2" s="1"/>
  <c r="K872" i="2" s="1"/>
  <c r="I873" i="2"/>
  <c r="J873" i="2" s="1"/>
  <c r="K873" i="2" s="1"/>
  <c r="I874" i="2"/>
  <c r="J874" i="2" s="1"/>
  <c r="K874" i="2" s="1"/>
  <c r="I875" i="2"/>
  <c r="J875" i="2" s="1"/>
  <c r="K875" i="2" s="1"/>
  <c r="I876" i="2"/>
  <c r="I877" i="2"/>
  <c r="J877" i="2" s="1"/>
  <c r="K877" i="2" s="1"/>
  <c r="I878" i="2"/>
  <c r="J878" i="2" s="1"/>
  <c r="K878" i="2" s="1"/>
  <c r="I879" i="2"/>
  <c r="J879" i="2" s="1"/>
  <c r="K879" i="2" s="1"/>
  <c r="I880" i="2"/>
  <c r="J880" i="2" s="1"/>
  <c r="K880" i="2" s="1"/>
  <c r="I881" i="2"/>
  <c r="J881" i="2" s="1"/>
  <c r="K881" i="2" s="1"/>
  <c r="I882" i="2"/>
  <c r="J882" i="2" s="1"/>
  <c r="K882" i="2" s="1"/>
  <c r="I883" i="2"/>
  <c r="J883" i="2" s="1"/>
  <c r="K883" i="2" s="1"/>
  <c r="I884" i="2"/>
  <c r="J884" i="2" s="1"/>
  <c r="K884" i="2" s="1"/>
  <c r="I885" i="2"/>
  <c r="J885" i="2" s="1"/>
  <c r="K885" i="2" s="1"/>
  <c r="I886" i="2"/>
  <c r="J886" i="2" s="1"/>
  <c r="K886" i="2" s="1"/>
  <c r="I887" i="2"/>
  <c r="J887" i="2" s="1"/>
  <c r="K887" i="2" s="1"/>
  <c r="I888" i="2"/>
  <c r="J888" i="2" s="1"/>
  <c r="K888" i="2" s="1"/>
  <c r="I889" i="2"/>
  <c r="J889" i="2" s="1"/>
  <c r="K889" i="2" s="1"/>
  <c r="I890" i="2"/>
  <c r="J890" i="2" s="1"/>
  <c r="K890" i="2" s="1"/>
  <c r="I891" i="2"/>
  <c r="J891" i="2" s="1"/>
  <c r="K891" i="2" s="1"/>
  <c r="I892" i="2"/>
  <c r="J892" i="2" s="1"/>
  <c r="K892" i="2" s="1"/>
  <c r="I893" i="2"/>
  <c r="J893" i="2" s="1"/>
  <c r="K893" i="2" s="1"/>
  <c r="I894" i="2"/>
  <c r="J894" i="2" s="1"/>
  <c r="K894" i="2" s="1"/>
  <c r="I895" i="2"/>
  <c r="J895" i="2" s="1"/>
  <c r="K895" i="2" s="1"/>
  <c r="I896" i="2"/>
  <c r="J896" i="2" s="1"/>
  <c r="K896" i="2" s="1"/>
  <c r="I897" i="2"/>
  <c r="J897" i="2" s="1"/>
  <c r="K897" i="2" s="1"/>
  <c r="I898" i="2"/>
  <c r="J898" i="2" s="1"/>
  <c r="K898" i="2" s="1"/>
  <c r="I899" i="2"/>
  <c r="J899" i="2" s="1"/>
  <c r="K899" i="2" s="1"/>
  <c r="I900" i="2"/>
  <c r="I901" i="2"/>
  <c r="J901" i="2" s="1"/>
  <c r="K901" i="2" s="1"/>
  <c r="I902" i="2"/>
  <c r="J902" i="2" s="1"/>
  <c r="K902" i="2" s="1"/>
  <c r="I903" i="2"/>
  <c r="J903" i="2" s="1"/>
  <c r="K903" i="2" s="1"/>
  <c r="I904" i="2"/>
  <c r="J904" i="2" s="1"/>
  <c r="K904" i="2" s="1"/>
  <c r="I905" i="2"/>
  <c r="J905" i="2" s="1"/>
  <c r="K905" i="2" s="1"/>
  <c r="I906" i="2"/>
  <c r="J906" i="2" s="1"/>
  <c r="K906" i="2" s="1"/>
  <c r="I907" i="2"/>
  <c r="J907" i="2" s="1"/>
  <c r="K907" i="2" s="1"/>
  <c r="I908" i="2"/>
  <c r="J908" i="2" s="1"/>
  <c r="K908" i="2" s="1"/>
  <c r="I909" i="2"/>
  <c r="J909" i="2" s="1"/>
  <c r="K909" i="2" s="1"/>
  <c r="I910" i="2"/>
  <c r="J910" i="2" s="1"/>
  <c r="K910" i="2" s="1"/>
  <c r="I911" i="2"/>
  <c r="J911" i="2" s="1"/>
  <c r="K911" i="2" s="1"/>
  <c r="I912" i="2"/>
  <c r="J912" i="2" s="1"/>
  <c r="K912" i="2" s="1"/>
  <c r="I913" i="2"/>
  <c r="J913" i="2" s="1"/>
  <c r="K913" i="2" s="1"/>
  <c r="I914" i="2"/>
  <c r="J914" i="2" s="1"/>
  <c r="K914" i="2" s="1"/>
  <c r="I915" i="2"/>
  <c r="J915" i="2" s="1"/>
  <c r="K915" i="2" s="1"/>
  <c r="I916" i="2"/>
  <c r="I917" i="2"/>
  <c r="J917" i="2" s="1"/>
  <c r="K917" i="2" s="1"/>
  <c r="I918" i="2"/>
  <c r="J918" i="2" s="1"/>
  <c r="K918" i="2" s="1"/>
  <c r="I919" i="2"/>
  <c r="J919" i="2" s="1"/>
  <c r="K919" i="2" s="1"/>
  <c r="I920" i="2"/>
  <c r="I921" i="2"/>
  <c r="J921" i="2" s="1"/>
  <c r="K921" i="2" s="1"/>
  <c r="I922" i="2"/>
  <c r="J922" i="2" s="1"/>
  <c r="K922" i="2" s="1"/>
  <c r="I923" i="2"/>
  <c r="J923" i="2" s="1"/>
  <c r="K923" i="2" s="1"/>
  <c r="I924" i="2"/>
  <c r="J924" i="2" s="1"/>
  <c r="K924" i="2" s="1"/>
  <c r="I925" i="2"/>
  <c r="J925" i="2" s="1"/>
  <c r="K925" i="2" s="1"/>
  <c r="I926" i="2"/>
  <c r="J926" i="2" s="1"/>
  <c r="K926" i="2" s="1"/>
  <c r="I927" i="2"/>
  <c r="J927" i="2" s="1"/>
  <c r="K927" i="2" s="1"/>
  <c r="I928" i="2"/>
  <c r="J928" i="2" s="1"/>
  <c r="K928" i="2" s="1"/>
  <c r="I929" i="2"/>
  <c r="J929" i="2" s="1"/>
  <c r="K929" i="2" s="1"/>
  <c r="I930" i="2"/>
  <c r="J930" i="2" s="1"/>
  <c r="K930" i="2" s="1"/>
  <c r="I931" i="2"/>
  <c r="J931" i="2" s="1"/>
  <c r="K931" i="2" s="1"/>
  <c r="I932" i="2"/>
  <c r="J932" i="2" s="1"/>
  <c r="K932" i="2" s="1"/>
  <c r="I933" i="2"/>
  <c r="J933" i="2" s="1"/>
  <c r="K933" i="2" s="1"/>
  <c r="I934" i="2"/>
  <c r="J934" i="2" s="1"/>
  <c r="K934" i="2" s="1"/>
  <c r="I935" i="2"/>
  <c r="J935" i="2" s="1"/>
  <c r="K935" i="2" s="1"/>
  <c r="I936" i="2"/>
  <c r="I937" i="2"/>
  <c r="I938" i="2"/>
  <c r="I939" i="2"/>
  <c r="J939" i="2" s="1"/>
  <c r="K939" i="2" s="1"/>
  <c r="I940" i="2"/>
  <c r="J940" i="2" s="1"/>
  <c r="K940" i="2" s="1"/>
  <c r="I941" i="2"/>
  <c r="J941" i="2" s="1"/>
  <c r="K941" i="2" s="1"/>
  <c r="I942" i="2"/>
  <c r="J942" i="2" s="1"/>
  <c r="K942" i="2" s="1"/>
  <c r="I943" i="2"/>
  <c r="J943" i="2" s="1"/>
  <c r="K943" i="2" s="1"/>
  <c r="I944" i="2"/>
  <c r="J944" i="2" s="1"/>
  <c r="K944" i="2" s="1"/>
  <c r="I945" i="2"/>
  <c r="J945" i="2" s="1"/>
  <c r="K945" i="2" s="1"/>
  <c r="I946" i="2"/>
  <c r="J946" i="2" s="1"/>
  <c r="K946" i="2" s="1"/>
  <c r="I947" i="2"/>
  <c r="J947" i="2" s="1"/>
  <c r="K947" i="2" s="1"/>
  <c r="I948" i="2"/>
  <c r="J948" i="2" s="1"/>
  <c r="K948" i="2" s="1"/>
  <c r="I949" i="2"/>
  <c r="J949" i="2" s="1"/>
  <c r="K949" i="2" s="1"/>
  <c r="I950" i="2"/>
  <c r="J950" i="2" s="1"/>
  <c r="K950" i="2" s="1"/>
  <c r="I951" i="2"/>
  <c r="J951" i="2" s="1"/>
  <c r="K951" i="2" s="1"/>
  <c r="I952" i="2"/>
  <c r="J952" i="2" s="1"/>
  <c r="K952" i="2" s="1"/>
  <c r="I953" i="2"/>
  <c r="J953" i="2" s="1"/>
  <c r="K953" i="2" s="1"/>
  <c r="I954" i="2"/>
  <c r="J954" i="2" s="1"/>
  <c r="K954" i="2" s="1"/>
  <c r="I955" i="2"/>
  <c r="J955" i="2" s="1"/>
  <c r="K955" i="2" s="1"/>
  <c r="I956" i="2"/>
  <c r="J956" i="2" s="1"/>
  <c r="K956" i="2" s="1"/>
  <c r="I957" i="2"/>
  <c r="J957" i="2" s="1"/>
  <c r="K957" i="2" s="1"/>
  <c r="I958" i="2"/>
  <c r="J958" i="2" s="1"/>
  <c r="K958" i="2" s="1"/>
  <c r="I959" i="2"/>
  <c r="J959" i="2" s="1"/>
  <c r="K959" i="2" s="1"/>
  <c r="I960" i="2"/>
  <c r="I961" i="2"/>
  <c r="J961" i="2" s="1"/>
  <c r="K961" i="2" s="1"/>
  <c r="I962" i="2"/>
  <c r="J962" i="2" s="1"/>
  <c r="K962" i="2" s="1"/>
  <c r="I963" i="2"/>
  <c r="J963" i="2" s="1"/>
  <c r="K963" i="2" s="1"/>
  <c r="I964" i="2"/>
  <c r="J964" i="2" s="1"/>
  <c r="K964" i="2" s="1"/>
  <c r="I965" i="2"/>
  <c r="J965" i="2" s="1"/>
  <c r="K965" i="2" s="1"/>
  <c r="I966" i="2"/>
  <c r="J966" i="2" s="1"/>
  <c r="K966" i="2" s="1"/>
  <c r="I967" i="2"/>
  <c r="J967" i="2" s="1"/>
  <c r="K967" i="2" s="1"/>
  <c r="I968" i="2"/>
  <c r="J968" i="2" s="1"/>
  <c r="K968" i="2" s="1"/>
  <c r="I969" i="2"/>
  <c r="J969" i="2" s="1"/>
  <c r="K969" i="2" s="1"/>
  <c r="I970" i="2"/>
  <c r="J970" i="2" s="1"/>
  <c r="K970" i="2" s="1"/>
  <c r="I971" i="2"/>
  <c r="J971" i="2" s="1"/>
  <c r="K971" i="2" s="1"/>
  <c r="I972" i="2"/>
  <c r="J972" i="2" s="1"/>
  <c r="K972" i="2" s="1"/>
  <c r="I973" i="2"/>
  <c r="J973" i="2" s="1"/>
  <c r="K973" i="2" s="1"/>
  <c r="I974" i="2"/>
  <c r="J974" i="2" s="1"/>
  <c r="K974" i="2" s="1"/>
  <c r="I975" i="2"/>
  <c r="J975" i="2" s="1"/>
  <c r="K975" i="2" s="1"/>
  <c r="I976" i="2"/>
  <c r="J976" i="2" s="1"/>
  <c r="K976" i="2" s="1"/>
  <c r="I977" i="2"/>
  <c r="J977" i="2" s="1"/>
  <c r="K977" i="2" s="1"/>
  <c r="I978" i="2"/>
  <c r="J978" i="2" s="1"/>
  <c r="K978" i="2" s="1"/>
  <c r="I979" i="2"/>
  <c r="J979" i="2" s="1"/>
  <c r="K979" i="2" s="1"/>
  <c r="I980" i="2"/>
  <c r="J980" i="2" s="1"/>
  <c r="K980" i="2" s="1"/>
  <c r="I981" i="2"/>
  <c r="J981" i="2" s="1"/>
  <c r="K981" i="2" s="1"/>
  <c r="I982" i="2"/>
  <c r="J982" i="2" s="1"/>
  <c r="K982" i="2" s="1"/>
  <c r="I983" i="2"/>
  <c r="J983" i="2" s="1"/>
  <c r="K983" i="2" s="1"/>
  <c r="I984" i="2"/>
  <c r="I985" i="2"/>
  <c r="J985" i="2" s="1"/>
  <c r="K985" i="2" s="1"/>
  <c r="I986" i="2"/>
  <c r="J986" i="2" s="1"/>
  <c r="K986" i="2" s="1"/>
  <c r="I987" i="2"/>
  <c r="J987" i="2" s="1"/>
  <c r="K987" i="2" s="1"/>
  <c r="I988" i="2"/>
  <c r="J988" i="2" s="1"/>
  <c r="K988" i="2" s="1"/>
  <c r="I989" i="2"/>
  <c r="J989" i="2" s="1"/>
  <c r="K989" i="2" s="1"/>
  <c r="I990" i="2"/>
  <c r="J990" i="2" s="1"/>
  <c r="K990" i="2" s="1"/>
  <c r="I991" i="2"/>
  <c r="J991" i="2" s="1"/>
  <c r="K991" i="2" s="1"/>
  <c r="I992" i="2"/>
  <c r="J992" i="2" s="1"/>
  <c r="K992" i="2" s="1"/>
  <c r="I993" i="2"/>
  <c r="J993" i="2" s="1"/>
  <c r="K993" i="2" s="1"/>
  <c r="I994" i="2"/>
  <c r="J994" i="2" s="1"/>
  <c r="K994" i="2" s="1"/>
  <c r="I995" i="2"/>
  <c r="J995" i="2" s="1"/>
  <c r="K995" i="2" s="1"/>
  <c r="I996" i="2"/>
  <c r="J996" i="2" s="1"/>
  <c r="K996" i="2" s="1"/>
  <c r="I997" i="2"/>
  <c r="J997" i="2" s="1"/>
  <c r="K997" i="2" s="1"/>
  <c r="I998" i="2"/>
  <c r="J998" i="2" s="1"/>
  <c r="K998" i="2" s="1"/>
  <c r="I999" i="2"/>
  <c r="J999" i="2" s="1"/>
  <c r="K999" i="2" s="1"/>
  <c r="I1000" i="2"/>
  <c r="I1001" i="2"/>
  <c r="I2" i="2"/>
  <c r="J2" i="2" s="1"/>
  <c r="K2" i="2" s="1"/>
</calcChain>
</file>

<file path=xl/sharedStrings.xml><?xml version="1.0" encoding="utf-8"?>
<sst xmlns="http://schemas.openxmlformats.org/spreadsheetml/2006/main" count="5058" uniqueCount="53">
  <si>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</si>
  <si>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</si>
  <si>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</si>
  <si>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</si>
  <si>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</si>
  <si>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</si>
  <si>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</si>
  <si>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</si>
  <si>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female</t>
  </si>
  <si>
    <t>group B</t>
  </si>
  <si>
    <t>bachelor's degree</t>
  </si>
  <si>
    <t>standard</t>
  </si>
  <si>
    <t>none</t>
  </si>
  <si>
    <t>group C</t>
  </si>
  <si>
    <t>some college</t>
  </si>
  <si>
    <t>completed</t>
  </si>
  <si>
    <t>master's degree</t>
  </si>
  <si>
    <t>male</t>
  </si>
  <si>
    <t>group A</t>
  </si>
  <si>
    <t>associate's degree</t>
  </si>
  <si>
    <t>free/reduced</t>
  </si>
  <si>
    <t>group D</t>
  </si>
  <si>
    <t>high school</t>
  </si>
  <si>
    <t>some high school</t>
  </si>
  <si>
    <t>group E</t>
  </si>
  <si>
    <t>Row Labels</t>
  </si>
  <si>
    <t>Grand Total</t>
  </si>
  <si>
    <t>Average of average score</t>
  </si>
  <si>
    <t>Insight:</t>
  </si>
  <si>
    <t>Higher education at home helps students perform better in school.</t>
  </si>
  <si>
    <t>Students whose parents have a Master’s or Bachelor’s degree get the highest marks.</t>
  </si>
  <si>
    <t>Average of math score</t>
  </si>
  <si>
    <t>Average of reading score</t>
  </si>
  <si>
    <t>Average of writing score</t>
  </si>
  <si>
    <t>Students who completed the preparation course scored much higher than those who didn't.</t>
  </si>
  <si>
    <r>
      <rPr>
        <b/>
        <sz val="11"/>
        <color theme="1"/>
        <rFont val="Aptos Narrow"/>
        <family val="2"/>
        <scheme val="minor"/>
      </rPr>
      <t>Taking a special coaching or prep course is the best way to improve grades</t>
    </r>
    <r>
      <rPr>
        <sz val="11"/>
        <color theme="1"/>
        <rFont val="Aptos Narrow"/>
        <family val="2"/>
        <scheme val="minor"/>
      </rPr>
      <t>.</t>
    </r>
  </si>
  <si>
    <t>Male students are slightly better at Mathematics.</t>
  </si>
  <si>
    <t>Overall, both boys and girls perform almost equally.</t>
  </si>
  <si>
    <r>
      <rPr>
        <b/>
        <sz val="11"/>
        <color theme="1"/>
        <rFont val="Aptos Narrow"/>
        <family val="2"/>
        <scheme val="minor"/>
      </rPr>
      <t>Female students are better at Reading and Writing</t>
    </r>
    <r>
      <rPr>
        <sz val="11"/>
        <color theme="1"/>
        <rFont val="Aptos Narrow"/>
        <family val="2"/>
        <scheme val="minor"/>
      </rPr>
      <t>.</t>
    </r>
  </si>
  <si>
    <t>Average of total score</t>
  </si>
  <si>
    <t>Students who eat Standard lunch perform better than those on free/reduced lunch.</t>
  </si>
  <si>
    <t>This shows that students with better financial support at home tend to focus more and get higher marks.</t>
  </si>
  <si>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</si>
  <si>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</si>
  <si>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</si>
  <si>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</si>
  <si>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</si>
  <si>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</si>
  <si>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</si>
  <si>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</si>
  <si>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Total score</t>
  </si>
  <si>
    <t>Average score</t>
  </si>
  <si>
    <t>Pass/fail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</si>
</sst>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2" fillId="0" borderId="0" xfId="0" applyFont="1"/>
    <xf numFmtId="4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9"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[STUDENT_PERFORMACE_DATASET.xlsx]pt 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200" b="1" i="0" u="none" strike="noStrike" baseline="0">
                <a:solidFill>
                  <a:schemeClr val="bg1">
                    <a:lumMod val="8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Agency FB" panose="020B0503020202020204" pitchFamily="34" charset="0"/>
              </a:rPr>
              <a:t>Impact of Parental Education on Student Average Scores</a:t>
            </a:r>
            <a:endParaRPr lang="en-US" sz="1200">
              <a:solidFill>
                <a:schemeClr val="bg1">
                  <a:lumMod val="85000"/>
                </a:schemeClr>
              </a:solidFill>
              <a:latin typeface="Agency FB" panose="020B0503020202020204" pitchFamily="34" charset="0"/>
            </a:endParaRPr>
          </a:p>
        </c:rich>
      </c:tx>
      <c:layout>
        <c:manualLayout>
          <c:xMode val="edge"/>
          <c:yMode val="edge"/>
          <c:x val="0.20894101778944293"/>
          <c:y val="0.1007997477851148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'pt 1'!$B$1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'pt 1'!$A$2:$A$8</c:f>
              <c:strCache>
                <c:ptCount val="6"/>
                <c:pt idx="0">
                  <c:v>associate's degree</c:v>
                </c:pt>
                <c:pt idx="1">
                  <c:v>bachelor's degree</c:v>
                </c:pt>
                <c:pt idx="2">
                  <c:v>high school</c:v>
                </c:pt>
                <c:pt idx="3">
                  <c:v>master's degree</c:v>
                </c:pt>
                <c:pt idx="4">
                  <c:v>some college</c:v>
                </c:pt>
                <c:pt idx="5">
                  <c:v>some high school</c:v>
                </c:pt>
              </c:strCache>
            </c:strRef>
          </c:cat>
          <c:val>
            <c:numRef>
              <c:f>'pt 1'!$B$2:$B$8</c:f>
              <c:numCache>
                <c:formatCode>General</c:formatCode>
                <c:ptCount val="6"/>
                <c:pt idx="0">
                  <c:v>69.569069069069073</c:v>
                </c:pt>
                <c:pt idx="1">
                  <c:v>71.923728813559308</c:v>
                </c:pt>
                <c:pt idx="2">
                  <c:v>63.09693877551021</c:v>
                </c:pt>
                <c:pt idx="3">
                  <c:v>73.598870056497177</c:v>
                </c:pt>
                <c:pt idx="4">
                  <c:v>68.476401179940993</c:v>
                </c:pt>
                <c:pt idx="5">
                  <c:v>65.108007448789607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EE-4042-8A79-39D4E04B562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746286367"/>
        <c:axId val="746293567"/>
        <c:axId val="0"/>
      </c:bar3DChart>
      <c:catAx>
        <c:axId val="7462863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293567"/>
        <c:crosses val="autoZero"/>
        <c:auto val="1"/>
        <c:lblAlgn val="ctr"/>
        <c:lblOffset val="100"/>
        <c:noMultiLvlLbl val="0"/>
      </c:catAx>
      <c:valAx>
        <c:axId val="746293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286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[STUDENT_PERFORMACE_DATASET.xlsx]pt 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200" b="1">
                <a:solidFill>
                  <a:schemeClr val="bg1">
                    <a:lumMod val="85000"/>
                  </a:schemeClr>
                </a:solidFill>
                <a:latin typeface="Amiri" panose="00000500000000000000" pitchFamily="2" charset="-78"/>
                <a:ea typeface="Amiri" panose="00000500000000000000" pitchFamily="2" charset="-78"/>
                <a:cs typeface="Amiri" panose="00000500000000000000" pitchFamily="2" charset="-78"/>
              </a:rPr>
              <a:t>Comparison of Marks: Test Preparation Course </a:t>
            </a:r>
          </a:p>
        </c:rich>
      </c:tx>
      <c:layout>
        <c:manualLayout>
          <c:xMode val="edge"/>
          <c:yMode val="edge"/>
          <c:x val="0.15916956493512519"/>
          <c:y val="0.1204794257070461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'pt 2'!$B$1</c:f>
              <c:strCache>
                <c:ptCount val="1"/>
                <c:pt idx="0">
                  <c:v>Average of math score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'pt 2'!$A$2:$A$4</c:f>
              <c:strCache>
                <c:ptCount val="2"/>
                <c:pt idx="0">
                  <c:v>completed</c:v>
                </c:pt>
                <c:pt idx="1">
                  <c:v>none</c:v>
                </c:pt>
              </c:strCache>
            </c:strRef>
          </c:cat>
          <c:val>
            <c:numRef>
              <c:f>'pt 2'!$B$2:$B$4</c:f>
              <c:numCache>
                <c:formatCode>General</c:formatCode>
                <c:ptCount val="2"/>
                <c:pt idx="0">
                  <c:v>69.69553072625699</c:v>
                </c:pt>
                <c:pt idx="1">
                  <c:v>64.077881619937699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6B-477B-A605-5AF1E158A6BD}"/>
            </c:ext>
          </c:extLst>
        </c:ser>
        <c:ser>
          <c:idx val="1"/>
          <c:order val="1"/>
          <c:tx>
            <c:strRef>
              <c:f>'pt 2'!$C$1</c:f>
              <c:strCache>
                <c:ptCount val="1"/>
                <c:pt idx="0">
                  <c:v>Average of reading score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'pt 2'!$A$2:$A$4</c:f>
              <c:strCache>
                <c:ptCount val="2"/>
                <c:pt idx="0">
                  <c:v>completed</c:v>
                </c:pt>
                <c:pt idx="1">
                  <c:v>none</c:v>
                </c:pt>
              </c:strCache>
            </c:strRef>
          </c:cat>
          <c:val>
            <c:numRef>
              <c:f>'pt 2'!$C$2:$C$4</c:f>
              <c:numCache>
                <c:formatCode>General</c:formatCode>
                <c:ptCount val="2"/>
                <c:pt idx="0">
                  <c:v>73.893854748603346</c:v>
                </c:pt>
                <c:pt idx="1">
                  <c:v>66.534267912772592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6B-477B-A605-5AF1E158A6BD}"/>
            </c:ext>
          </c:extLst>
        </c:ser>
        <c:ser>
          <c:idx val="2"/>
          <c:order val="2"/>
          <c:tx>
            <c:strRef>
              <c:f>'pt 2'!$D$1</c:f>
              <c:strCache>
                <c:ptCount val="1"/>
                <c:pt idx="0">
                  <c:v>Average of writing score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'pt 2'!$A$2:$A$4</c:f>
              <c:strCache>
                <c:ptCount val="2"/>
                <c:pt idx="0">
                  <c:v>completed</c:v>
                </c:pt>
                <c:pt idx="1">
                  <c:v>none</c:v>
                </c:pt>
              </c:strCache>
            </c:strRef>
          </c:cat>
          <c:val>
            <c:numRef>
              <c:f>'pt 2'!$D$2:$D$4</c:f>
              <c:numCache>
                <c:formatCode>General</c:formatCode>
                <c:ptCount val="2"/>
                <c:pt idx="0">
                  <c:v>74.418994413407816</c:v>
                </c:pt>
                <c:pt idx="1">
                  <c:v>64.504672897196258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6B-477B-A605-5AF1E158A6B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937078063"/>
        <c:axId val="937078543"/>
      </c:barChart>
      <c:catAx>
        <c:axId val="9370780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078543"/>
        <c:crosses val="autoZero"/>
        <c:auto val="1"/>
        <c:lblAlgn val="ctr"/>
        <c:lblOffset val="100"/>
        <c:noMultiLvlLbl val="0"/>
      </c:catAx>
      <c:valAx>
        <c:axId val="937078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078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2343841295456451E-2"/>
          <c:y val="0.8268303441236512"/>
          <c:w val="0.88233215547703181"/>
          <c:h val="0.145391878098571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[STUDENT_PERFORMACE_DATASET.xlsx]pt 3!PivotTable3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1000">
                <a:solidFill>
                  <a:schemeClr val="bg1">
                    <a:lumMod val="85000"/>
                  </a:schemeClr>
                </a:solidFill>
                <a:latin typeface="Agency FB" panose="020B0503020202020204" pitchFamily="34" charset="0"/>
                <a:ea typeface="Amiri" panose="00000500000000000000" pitchFamily="2" charset="-78"/>
                <a:cs typeface="Amiri" panose="00000500000000000000" pitchFamily="2" charset="-78"/>
              </a:rPr>
              <a:t>Student Distribution and Performance</a:t>
            </a:r>
            <a:r>
              <a:rPr lang="en-US" sz="1000" baseline="0">
                <a:solidFill>
                  <a:schemeClr val="bg1">
                    <a:lumMod val="85000"/>
                  </a:schemeClr>
                </a:solidFill>
                <a:latin typeface="Agency FB" panose="020B0503020202020204" pitchFamily="34" charset="0"/>
                <a:ea typeface="Amiri" panose="00000500000000000000" pitchFamily="2" charset="-78"/>
                <a:cs typeface="Amiri" panose="00000500000000000000" pitchFamily="2" charset="-78"/>
              </a:rPr>
              <a:t> </a:t>
            </a:r>
            <a:r>
              <a:rPr lang="en-US" sz="1000">
                <a:solidFill>
                  <a:schemeClr val="bg1">
                    <a:lumMod val="85000"/>
                  </a:schemeClr>
                </a:solidFill>
                <a:latin typeface="Agency FB" panose="020B0503020202020204" pitchFamily="34" charset="0"/>
                <a:ea typeface="Amiri" panose="00000500000000000000" pitchFamily="2" charset="-78"/>
                <a:cs typeface="Amiri" panose="00000500000000000000" pitchFamily="2" charset="-78"/>
              </a:rPr>
              <a:t>Analysis by Gender</a:t>
            </a:r>
          </a:p>
        </c:rich>
      </c:tx>
      <c:layout>
        <c:manualLayout>
          <c:xMode val="edge"/>
          <c:yMode val="edge"/>
          <c:x val="0.12083333333333333"/>
          <c:y val="0.142905072143281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2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4783464566929134"/>
          <c:y val="0.26466815255156895"/>
          <c:w val="0.4313814523184602"/>
          <c:h val="0.6380988092969504"/>
        </c:manualLayout>
      </c:layout>
      <c:doughnutChart>
        <c:varyColors val="1"/>
        <c:ser>
          <c:idx val="0"/>
          <c:order val="0"/>
          <c:tx>
            <c:strRef>
              <c:f>'pt 3'!$B$1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lt1"/>
            </a:solidFill>
            <a:ln w="19050">
              <a:solidFill>
                <a:schemeClr val="accent1"/>
              </a:solidFill>
            </a:ln>
            <a:effectLst/>
          </c:spPr>
          <c:dPt>
            <c:idx val="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93E-4599-AAFE-6FFF8C20E421}"/>
              </c:ext>
            </c:extLst>
          </c:dPt>
          <c:dPt>
            <c:idx val="1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93E-4599-AAFE-6FFF8C20E42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'pt 3'!$A$2:$A$4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'pt 3'!$B$2:$B$4</c:f>
              <c:numCache>
                <c:formatCode>General</c:formatCode>
                <c:ptCount val="2"/>
                <c:pt idx="0">
                  <c:v>69.56949806949811</c:v>
                </c:pt>
                <c:pt idx="1">
                  <c:v>65.837482710926707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CE-47C6-A473-41661D9E7410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[STUDENT_PERFORMACE_DATASET.xlsx]pt 4!PivotTable4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bg1">
                    <a:lumMod val="85000"/>
                  </a:schemeClr>
                </a:solidFill>
                <a:latin typeface="Agency FB" panose="020B0503020202020204" pitchFamily="34" charset="0"/>
              </a:rPr>
              <a:t>Effect of Lunch Type on Academic Performance</a:t>
            </a:r>
          </a:p>
        </c:rich>
      </c:tx>
      <c:layout>
        <c:manualLayout>
          <c:xMode val="edge"/>
          <c:yMode val="edge"/>
          <c:x val="0.18736559139784947"/>
          <c:y val="0.105053623415307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3331110828888323"/>
          <c:y val="0.2337872081607337"/>
          <c:w val="0.84249534332401999"/>
          <c:h val="0.54600677724392299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'pt 4'!$B$1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'pt 4'!$A$2:$A$4</c:f>
              <c:strCache>
                <c:ptCount val="2"/>
                <c:pt idx="0">
                  <c:v>free/reduced</c:v>
                </c:pt>
                <c:pt idx="1">
                  <c:v>standard</c:v>
                </c:pt>
              </c:strCache>
            </c:strRef>
          </c:cat>
          <c:val>
            <c:numRef>
              <c:f>'pt 4'!$B$2:$B$4</c:f>
              <c:numCache>
                <c:formatCode>General</c:formatCode>
                <c:ptCount val="2"/>
                <c:pt idx="0">
                  <c:v>186.59718309859156</c:v>
                </c:pt>
                <c:pt idx="1">
                  <c:v>212.51162790697674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93-42E6-B552-3E5D0461F0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37109743"/>
        <c:axId val="937107343"/>
        <c:axId val="0"/>
      </c:bar3DChart>
      <c:catAx>
        <c:axId val="937109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107343"/>
        <c:crosses val="autoZero"/>
        <c:auto val="1"/>
        <c:lblAlgn val="ctr"/>
        <c:lblOffset val="100"/>
        <c:noMultiLvlLbl val="0"/>
      </c:catAx>
      <c:valAx>
        <c:axId val="937107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10974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0</xdr:row>
      <xdr:rowOff>0</xdr:rowOff>
    </xdr:from>
    <xdr:to>
      <xdr:col>11</xdr:col>
      <xdr:colOff>600075</xdr:colOff>
      <xdr:row>17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A81F60-B920-D2B1-9B00-B8912961DD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185737</xdr:rowOff>
    </xdr:from>
    <xdr:to>
      <xdr:col>4</xdr:col>
      <xdr:colOff>0</xdr:colOff>
      <xdr:row>20</xdr:row>
      <xdr:rowOff>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9C4425-CBAF-53AD-ADA4-F40385EB4B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176212</xdr:rowOff>
    </xdr:from>
    <xdr:to>
      <xdr:col>5</xdr:col>
      <xdr:colOff>266700</xdr:colOff>
      <xdr:row>20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FF5A21-BF41-DFBB-27EA-564342C71D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33336</xdr:rowOff>
    </xdr:from>
    <xdr:to>
      <xdr:col>6</xdr:col>
      <xdr:colOff>9525</xdr:colOff>
      <xdr:row>20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C7223E-3A5F-38E6-36FD-DE992CEC2C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099.645941550923" createdVersion="8" refreshedVersion="8" minRefreshableVersion="3" recordCount="1000" xr:uid="{092B4D2C-1FC7-422D-949F-251702FED32B}">
  <cacheSource type="worksheet">
    <worksheetSource name="Table1"/>
  </cacheSource>
  <cacheFields count="11">
    <cacheField name="gender" numFmtId="0">
      <sharedItems count="2">
        <s v="female"/>
        <s v="male"/>
      </sharedItems>
    </cacheField>
    <cacheField name="race/ethnicity" numFmtId="0">
      <sharedItems/>
    </cacheField>
    <cacheField name="parental level of education" numFmtId="0">
      <sharedItems count="6">
        <s v="bachelor's degree"/>
        <s v="some college"/>
        <s v="master's degree"/>
        <s v="associate's degree"/>
        <s v="high school"/>
        <s v="some high school"/>
      </sharedItems>
    </cacheField>
    <cacheField name="lunch" numFmtId="0">
      <sharedItems count="2">
        <s v="standard"/>
        <s v="free/reduced"/>
      </sharedItems>
    </cacheField>
    <cacheField name="test preparation course" numFmtId="0">
      <sharedItems count="2">
        <s v="none"/>
        <s v="completed"/>
      </sharedItems>
    </cacheField>
    <cacheField name="math score" numFmtId="0">
      <sharedItems containsSemiMixedTypes="0" containsString="0" containsNumber="1" containsInteger="1" minValue="0" maxValue="100"/>
    </cacheField>
    <cacheField name="reading score" numFmtId="0">
      <sharedItems containsSemiMixedTypes="0" containsString="0" containsNumber="1" containsInteger="1" minValue="17" maxValue="100"/>
    </cacheField>
    <cacheField name="writing score" numFmtId="0">
      <sharedItems containsSemiMixedTypes="0" containsString="0" containsNumber="1" containsInteger="1" minValue="10" maxValue="100"/>
    </cacheField>
    <cacheField name="total score" numFmtId="0">
      <sharedItems containsSemiMixedTypes="0" containsString="0" containsNumber="1" containsInteger="1" minValue="27" maxValue="300"/>
    </cacheField>
    <cacheField name="average score" numFmtId="0">
      <sharedItems containsSemiMixedTypes="0" containsString="0" containsNumber="1" minValue="9" maxValue="100"/>
    </cacheField>
    <cacheField name="pass/fail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s v="group B"/>
    <x v="0"/>
    <x v="0"/>
    <x v="0"/>
    <n v="72"/>
    <n v="72"/>
    <n v="74"/>
    <n v="218"/>
    <n v="72.666666666666671"/>
    <s v="pass"/>
  </r>
  <r>
    <x v="0"/>
    <s v="group C"/>
    <x v="1"/>
    <x v="0"/>
    <x v="1"/>
    <n v="69"/>
    <n v="90"/>
    <n v="88"/>
    <n v="247"/>
    <n v="82.333333333333329"/>
    <s v="pass"/>
  </r>
  <r>
    <x v="0"/>
    <s v="group B"/>
    <x v="2"/>
    <x v="0"/>
    <x v="0"/>
    <n v="90"/>
    <n v="95"/>
    <n v="93"/>
    <n v="278"/>
    <n v="92.666666666666671"/>
    <s v="pass"/>
  </r>
  <r>
    <x v="1"/>
    <s v="group A"/>
    <x v="3"/>
    <x v="1"/>
    <x v="0"/>
    <n v="47"/>
    <n v="57"/>
    <n v="44"/>
    <n v="148"/>
    <n v="49.333333333333336"/>
    <s v="pass"/>
  </r>
  <r>
    <x v="1"/>
    <s v="group C"/>
    <x v="1"/>
    <x v="0"/>
    <x v="0"/>
    <n v="76"/>
    <n v="78"/>
    <n v="75"/>
    <n v="229"/>
    <n v="76.333333333333329"/>
    <s v="pass"/>
  </r>
  <r>
    <x v="0"/>
    <s v="group B"/>
    <x v="3"/>
    <x v="0"/>
    <x v="0"/>
    <n v="71"/>
    <n v="83"/>
    <n v="78"/>
    <n v="232"/>
    <n v="77.333333333333329"/>
    <s v="pass"/>
  </r>
  <r>
    <x v="0"/>
    <s v="group B"/>
    <x v="1"/>
    <x v="0"/>
    <x v="1"/>
    <n v="88"/>
    <n v="95"/>
    <n v="92"/>
    <n v="275"/>
    <n v="91.666666666666671"/>
    <s v="pass"/>
  </r>
  <r>
    <x v="1"/>
    <s v="group B"/>
    <x v="1"/>
    <x v="1"/>
    <x v="0"/>
    <n v="40"/>
    <n v="43"/>
    <n v="39"/>
    <n v="122"/>
    <n v="40.666666666666664"/>
    <s v="pass"/>
  </r>
  <r>
    <x v="1"/>
    <s v="group D"/>
    <x v="4"/>
    <x v="1"/>
    <x v="1"/>
    <n v="64"/>
    <n v="64"/>
    <n v="67"/>
    <n v="195"/>
    <n v="65"/>
    <s v="pass"/>
  </r>
  <r>
    <x v="0"/>
    <s v="group B"/>
    <x v="4"/>
    <x v="1"/>
    <x v="0"/>
    <n v="38"/>
    <n v="60"/>
    <n v="50"/>
    <n v="148"/>
    <n v="49.333333333333336"/>
    <s v="pass"/>
  </r>
  <r>
    <x v="1"/>
    <s v="group C"/>
    <x v="3"/>
    <x v="0"/>
    <x v="0"/>
    <n v="58"/>
    <n v="54"/>
    <n v="52"/>
    <n v="164"/>
    <n v="54.666666666666664"/>
    <s v="pass"/>
  </r>
  <r>
    <x v="1"/>
    <s v="group D"/>
    <x v="3"/>
    <x v="0"/>
    <x v="0"/>
    <n v="40"/>
    <n v="52"/>
    <n v="43"/>
    <n v="135"/>
    <n v="45"/>
    <s v="pass"/>
  </r>
  <r>
    <x v="0"/>
    <s v="group B"/>
    <x v="4"/>
    <x v="0"/>
    <x v="0"/>
    <n v="65"/>
    <n v="81"/>
    <n v="73"/>
    <n v="219"/>
    <n v="73"/>
    <s v="pass"/>
  </r>
  <r>
    <x v="1"/>
    <s v="group A"/>
    <x v="1"/>
    <x v="0"/>
    <x v="1"/>
    <n v="78"/>
    <n v="72"/>
    <n v="70"/>
    <n v="220"/>
    <n v="73.333333333333329"/>
    <s v="pass"/>
  </r>
  <r>
    <x v="0"/>
    <s v="group A"/>
    <x v="2"/>
    <x v="0"/>
    <x v="0"/>
    <n v="50"/>
    <n v="53"/>
    <n v="58"/>
    <n v="161"/>
    <n v="53.666666666666664"/>
    <s v="pass"/>
  </r>
  <r>
    <x v="0"/>
    <s v="group C"/>
    <x v="5"/>
    <x v="0"/>
    <x v="0"/>
    <n v="69"/>
    <n v="75"/>
    <n v="78"/>
    <n v="222"/>
    <n v="74"/>
    <s v="pass"/>
  </r>
  <r>
    <x v="1"/>
    <s v="group C"/>
    <x v="4"/>
    <x v="0"/>
    <x v="0"/>
    <n v="88"/>
    <n v="89"/>
    <n v="86"/>
    <n v="263"/>
    <n v="87.666666666666671"/>
    <s v="pass"/>
  </r>
  <r>
    <x v="0"/>
    <s v="group B"/>
    <x v="5"/>
    <x v="1"/>
    <x v="0"/>
    <n v="18"/>
    <n v="32"/>
    <n v="28"/>
    <n v="78"/>
    <n v="26"/>
    <s v="fail"/>
  </r>
  <r>
    <x v="1"/>
    <s v="group C"/>
    <x v="2"/>
    <x v="1"/>
    <x v="1"/>
    <n v="46"/>
    <n v="42"/>
    <n v="46"/>
    <n v="134"/>
    <n v="44.666666666666664"/>
    <s v="pass"/>
  </r>
  <r>
    <x v="0"/>
    <s v="group C"/>
    <x v="3"/>
    <x v="1"/>
    <x v="0"/>
    <n v="54"/>
    <n v="58"/>
    <n v="61"/>
    <n v="173"/>
    <n v="57.666666666666664"/>
    <s v="pass"/>
  </r>
  <r>
    <x v="1"/>
    <s v="group D"/>
    <x v="4"/>
    <x v="0"/>
    <x v="0"/>
    <n v="66"/>
    <n v="69"/>
    <n v="63"/>
    <n v="198"/>
    <n v="66"/>
    <s v="pass"/>
  </r>
  <r>
    <x v="0"/>
    <s v="group B"/>
    <x v="1"/>
    <x v="1"/>
    <x v="1"/>
    <n v="65"/>
    <n v="75"/>
    <n v="70"/>
    <n v="210"/>
    <n v="70"/>
    <s v="pass"/>
  </r>
  <r>
    <x v="1"/>
    <s v="group D"/>
    <x v="1"/>
    <x v="0"/>
    <x v="0"/>
    <n v="44"/>
    <n v="54"/>
    <n v="53"/>
    <n v="151"/>
    <n v="50.333333333333336"/>
    <s v="pass"/>
  </r>
  <r>
    <x v="0"/>
    <s v="group C"/>
    <x v="5"/>
    <x v="0"/>
    <x v="0"/>
    <n v="69"/>
    <n v="73"/>
    <n v="73"/>
    <n v="215"/>
    <n v="71.666666666666671"/>
    <s v="pass"/>
  </r>
  <r>
    <x v="1"/>
    <s v="group D"/>
    <x v="0"/>
    <x v="1"/>
    <x v="1"/>
    <n v="74"/>
    <n v="71"/>
    <n v="80"/>
    <n v="225"/>
    <n v="75"/>
    <s v="pass"/>
  </r>
  <r>
    <x v="1"/>
    <s v="group A"/>
    <x v="2"/>
    <x v="1"/>
    <x v="0"/>
    <n v="73"/>
    <n v="74"/>
    <n v="72"/>
    <n v="219"/>
    <n v="73"/>
    <s v="pass"/>
  </r>
  <r>
    <x v="1"/>
    <s v="group B"/>
    <x v="1"/>
    <x v="0"/>
    <x v="0"/>
    <n v="69"/>
    <n v="54"/>
    <n v="55"/>
    <n v="178"/>
    <n v="59.333333333333336"/>
    <s v="pass"/>
  </r>
  <r>
    <x v="0"/>
    <s v="group C"/>
    <x v="0"/>
    <x v="0"/>
    <x v="0"/>
    <n v="67"/>
    <n v="69"/>
    <n v="75"/>
    <n v="211"/>
    <n v="70.333333333333329"/>
    <s v="pass"/>
  </r>
  <r>
    <x v="1"/>
    <s v="group C"/>
    <x v="4"/>
    <x v="0"/>
    <x v="0"/>
    <n v="70"/>
    <n v="70"/>
    <n v="65"/>
    <n v="205"/>
    <n v="68.333333333333329"/>
    <s v="pass"/>
  </r>
  <r>
    <x v="0"/>
    <s v="group D"/>
    <x v="2"/>
    <x v="0"/>
    <x v="0"/>
    <n v="62"/>
    <n v="70"/>
    <n v="75"/>
    <n v="207"/>
    <n v="69"/>
    <s v="pass"/>
  </r>
  <r>
    <x v="0"/>
    <s v="group D"/>
    <x v="1"/>
    <x v="0"/>
    <x v="0"/>
    <n v="69"/>
    <n v="74"/>
    <n v="74"/>
    <n v="217"/>
    <n v="72.333333333333329"/>
    <s v="pass"/>
  </r>
  <r>
    <x v="0"/>
    <s v="group B"/>
    <x v="1"/>
    <x v="0"/>
    <x v="0"/>
    <n v="63"/>
    <n v="65"/>
    <n v="61"/>
    <n v="189"/>
    <n v="63"/>
    <s v="pass"/>
  </r>
  <r>
    <x v="0"/>
    <s v="group E"/>
    <x v="2"/>
    <x v="1"/>
    <x v="0"/>
    <n v="56"/>
    <n v="72"/>
    <n v="65"/>
    <n v="193"/>
    <n v="64.333333333333329"/>
    <s v="pass"/>
  </r>
  <r>
    <x v="1"/>
    <s v="group D"/>
    <x v="1"/>
    <x v="0"/>
    <x v="0"/>
    <n v="40"/>
    <n v="42"/>
    <n v="38"/>
    <n v="120"/>
    <n v="40"/>
    <s v="pass"/>
  </r>
  <r>
    <x v="1"/>
    <s v="group E"/>
    <x v="1"/>
    <x v="0"/>
    <x v="0"/>
    <n v="97"/>
    <n v="87"/>
    <n v="82"/>
    <n v="266"/>
    <n v="88.666666666666671"/>
    <s v="pass"/>
  </r>
  <r>
    <x v="1"/>
    <s v="group E"/>
    <x v="3"/>
    <x v="0"/>
    <x v="1"/>
    <n v="81"/>
    <n v="81"/>
    <n v="79"/>
    <n v="241"/>
    <n v="80.333333333333329"/>
    <s v="pass"/>
  </r>
  <r>
    <x v="0"/>
    <s v="group D"/>
    <x v="3"/>
    <x v="0"/>
    <x v="0"/>
    <n v="74"/>
    <n v="81"/>
    <n v="83"/>
    <n v="238"/>
    <n v="79.333333333333329"/>
    <s v="pass"/>
  </r>
  <r>
    <x v="0"/>
    <s v="group D"/>
    <x v="5"/>
    <x v="1"/>
    <x v="0"/>
    <n v="50"/>
    <n v="64"/>
    <n v="59"/>
    <n v="173"/>
    <n v="57.666666666666664"/>
    <s v="pass"/>
  </r>
  <r>
    <x v="0"/>
    <s v="group D"/>
    <x v="3"/>
    <x v="1"/>
    <x v="1"/>
    <n v="75"/>
    <n v="90"/>
    <n v="88"/>
    <n v="253"/>
    <n v="84.333333333333329"/>
    <s v="pass"/>
  </r>
  <r>
    <x v="1"/>
    <s v="group B"/>
    <x v="3"/>
    <x v="1"/>
    <x v="0"/>
    <n v="57"/>
    <n v="56"/>
    <n v="57"/>
    <n v="170"/>
    <n v="56.666666666666664"/>
    <s v="pass"/>
  </r>
  <r>
    <x v="1"/>
    <s v="group C"/>
    <x v="3"/>
    <x v="1"/>
    <x v="0"/>
    <n v="55"/>
    <n v="61"/>
    <n v="54"/>
    <n v="170"/>
    <n v="56.666666666666664"/>
    <s v="pass"/>
  </r>
  <r>
    <x v="0"/>
    <s v="group C"/>
    <x v="3"/>
    <x v="0"/>
    <x v="0"/>
    <n v="58"/>
    <n v="73"/>
    <n v="68"/>
    <n v="199"/>
    <n v="66.333333333333329"/>
    <s v="pass"/>
  </r>
  <r>
    <x v="0"/>
    <s v="group B"/>
    <x v="3"/>
    <x v="0"/>
    <x v="0"/>
    <n v="53"/>
    <n v="58"/>
    <n v="65"/>
    <n v="176"/>
    <n v="58.666666666666664"/>
    <s v="pass"/>
  </r>
  <r>
    <x v="1"/>
    <s v="group B"/>
    <x v="1"/>
    <x v="1"/>
    <x v="1"/>
    <n v="59"/>
    <n v="65"/>
    <n v="66"/>
    <n v="190"/>
    <n v="63.333333333333336"/>
    <s v="pass"/>
  </r>
  <r>
    <x v="0"/>
    <s v="group E"/>
    <x v="3"/>
    <x v="1"/>
    <x v="0"/>
    <n v="50"/>
    <n v="56"/>
    <n v="54"/>
    <n v="160"/>
    <n v="53.333333333333336"/>
    <s v="pass"/>
  </r>
  <r>
    <x v="1"/>
    <s v="group B"/>
    <x v="3"/>
    <x v="0"/>
    <x v="0"/>
    <n v="65"/>
    <n v="54"/>
    <n v="57"/>
    <n v="176"/>
    <n v="58.666666666666664"/>
    <s v="pass"/>
  </r>
  <r>
    <x v="0"/>
    <s v="group A"/>
    <x v="3"/>
    <x v="0"/>
    <x v="1"/>
    <n v="55"/>
    <n v="65"/>
    <n v="62"/>
    <n v="182"/>
    <n v="60.666666666666664"/>
    <s v="pass"/>
  </r>
  <r>
    <x v="0"/>
    <s v="group C"/>
    <x v="4"/>
    <x v="0"/>
    <x v="0"/>
    <n v="66"/>
    <n v="71"/>
    <n v="76"/>
    <n v="213"/>
    <n v="71"/>
    <s v="pass"/>
  </r>
  <r>
    <x v="0"/>
    <s v="group D"/>
    <x v="3"/>
    <x v="1"/>
    <x v="1"/>
    <n v="57"/>
    <n v="74"/>
    <n v="76"/>
    <n v="207"/>
    <n v="69"/>
    <s v="pass"/>
  </r>
  <r>
    <x v="1"/>
    <s v="group C"/>
    <x v="4"/>
    <x v="0"/>
    <x v="1"/>
    <n v="82"/>
    <n v="84"/>
    <n v="82"/>
    <n v="248"/>
    <n v="82.666666666666671"/>
    <s v="pass"/>
  </r>
  <r>
    <x v="1"/>
    <s v="group E"/>
    <x v="1"/>
    <x v="0"/>
    <x v="0"/>
    <n v="53"/>
    <n v="55"/>
    <n v="48"/>
    <n v="156"/>
    <n v="52"/>
    <s v="pass"/>
  </r>
  <r>
    <x v="1"/>
    <s v="group E"/>
    <x v="3"/>
    <x v="1"/>
    <x v="1"/>
    <n v="77"/>
    <n v="69"/>
    <n v="68"/>
    <n v="214"/>
    <n v="71.333333333333329"/>
    <s v="pass"/>
  </r>
  <r>
    <x v="1"/>
    <s v="group C"/>
    <x v="1"/>
    <x v="0"/>
    <x v="0"/>
    <n v="53"/>
    <n v="44"/>
    <n v="42"/>
    <n v="139"/>
    <n v="46.333333333333336"/>
    <s v="pass"/>
  </r>
  <r>
    <x v="1"/>
    <s v="group D"/>
    <x v="4"/>
    <x v="0"/>
    <x v="0"/>
    <n v="88"/>
    <n v="78"/>
    <n v="75"/>
    <n v="241"/>
    <n v="80.333333333333329"/>
    <s v="pass"/>
  </r>
  <r>
    <x v="0"/>
    <s v="group C"/>
    <x v="5"/>
    <x v="1"/>
    <x v="1"/>
    <n v="71"/>
    <n v="84"/>
    <n v="87"/>
    <n v="242"/>
    <n v="80.666666666666671"/>
    <s v="pass"/>
  </r>
  <r>
    <x v="0"/>
    <s v="group C"/>
    <x v="4"/>
    <x v="1"/>
    <x v="0"/>
    <n v="33"/>
    <n v="41"/>
    <n v="43"/>
    <n v="117"/>
    <n v="39"/>
    <s v="fail"/>
  </r>
  <r>
    <x v="0"/>
    <s v="group E"/>
    <x v="3"/>
    <x v="0"/>
    <x v="1"/>
    <n v="82"/>
    <n v="85"/>
    <n v="86"/>
    <n v="253"/>
    <n v="84.333333333333329"/>
    <s v="pass"/>
  </r>
  <r>
    <x v="1"/>
    <s v="group D"/>
    <x v="3"/>
    <x v="0"/>
    <x v="0"/>
    <n v="52"/>
    <n v="55"/>
    <n v="49"/>
    <n v="156"/>
    <n v="52"/>
    <s v="pass"/>
  </r>
  <r>
    <x v="1"/>
    <s v="group D"/>
    <x v="1"/>
    <x v="0"/>
    <x v="1"/>
    <n v="58"/>
    <n v="59"/>
    <n v="58"/>
    <n v="175"/>
    <n v="58.333333333333336"/>
    <s v="pass"/>
  </r>
  <r>
    <x v="0"/>
    <s v="group C"/>
    <x v="5"/>
    <x v="1"/>
    <x v="0"/>
    <n v="0"/>
    <n v="17"/>
    <n v="10"/>
    <n v="27"/>
    <n v="9"/>
    <s v="fail"/>
  </r>
  <r>
    <x v="1"/>
    <s v="group E"/>
    <x v="0"/>
    <x v="1"/>
    <x v="1"/>
    <n v="79"/>
    <n v="74"/>
    <n v="72"/>
    <n v="225"/>
    <n v="75"/>
    <s v="pass"/>
  </r>
  <r>
    <x v="1"/>
    <s v="group A"/>
    <x v="5"/>
    <x v="1"/>
    <x v="0"/>
    <n v="39"/>
    <n v="39"/>
    <n v="34"/>
    <n v="112"/>
    <n v="37.333333333333336"/>
    <s v="fail"/>
  </r>
  <r>
    <x v="1"/>
    <s v="group A"/>
    <x v="3"/>
    <x v="1"/>
    <x v="0"/>
    <n v="62"/>
    <n v="61"/>
    <n v="55"/>
    <n v="178"/>
    <n v="59.333333333333336"/>
    <s v="pass"/>
  </r>
  <r>
    <x v="0"/>
    <s v="group C"/>
    <x v="3"/>
    <x v="0"/>
    <x v="0"/>
    <n v="69"/>
    <n v="80"/>
    <n v="71"/>
    <n v="220"/>
    <n v="73.333333333333329"/>
    <s v="pass"/>
  </r>
  <r>
    <x v="0"/>
    <s v="group D"/>
    <x v="5"/>
    <x v="0"/>
    <x v="0"/>
    <n v="59"/>
    <n v="58"/>
    <n v="59"/>
    <n v="176"/>
    <n v="58.666666666666664"/>
    <s v="pass"/>
  </r>
  <r>
    <x v="1"/>
    <s v="group B"/>
    <x v="5"/>
    <x v="0"/>
    <x v="0"/>
    <n v="67"/>
    <n v="64"/>
    <n v="61"/>
    <n v="192"/>
    <n v="64"/>
    <s v="pass"/>
  </r>
  <r>
    <x v="1"/>
    <s v="group D"/>
    <x v="5"/>
    <x v="1"/>
    <x v="0"/>
    <n v="45"/>
    <n v="37"/>
    <n v="37"/>
    <n v="119"/>
    <n v="39.666666666666664"/>
    <s v="fail"/>
  </r>
  <r>
    <x v="0"/>
    <s v="group C"/>
    <x v="1"/>
    <x v="0"/>
    <x v="0"/>
    <n v="60"/>
    <n v="72"/>
    <n v="74"/>
    <n v="206"/>
    <n v="68.666666666666671"/>
    <s v="pass"/>
  </r>
  <r>
    <x v="1"/>
    <s v="group B"/>
    <x v="3"/>
    <x v="1"/>
    <x v="0"/>
    <n v="61"/>
    <n v="58"/>
    <n v="56"/>
    <n v="175"/>
    <n v="58.333333333333336"/>
    <s v="pass"/>
  </r>
  <r>
    <x v="0"/>
    <s v="group C"/>
    <x v="3"/>
    <x v="0"/>
    <x v="0"/>
    <n v="39"/>
    <n v="64"/>
    <n v="57"/>
    <n v="160"/>
    <n v="53.333333333333336"/>
    <s v="pass"/>
  </r>
  <r>
    <x v="0"/>
    <s v="group D"/>
    <x v="1"/>
    <x v="1"/>
    <x v="1"/>
    <n v="58"/>
    <n v="63"/>
    <n v="73"/>
    <n v="194"/>
    <n v="64.666666666666671"/>
    <s v="pass"/>
  </r>
  <r>
    <x v="1"/>
    <s v="group D"/>
    <x v="1"/>
    <x v="0"/>
    <x v="1"/>
    <n v="63"/>
    <n v="55"/>
    <n v="63"/>
    <n v="181"/>
    <n v="60.333333333333336"/>
    <s v="pass"/>
  </r>
  <r>
    <x v="0"/>
    <s v="group A"/>
    <x v="3"/>
    <x v="1"/>
    <x v="0"/>
    <n v="41"/>
    <n v="51"/>
    <n v="48"/>
    <n v="140"/>
    <n v="46.666666666666664"/>
    <s v="pass"/>
  </r>
  <r>
    <x v="1"/>
    <s v="group C"/>
    <x v="5"/>
    <x v="1"/>
    <x v="0"/>
    <n v="61"/>
    <n v="57"/>
    <n v="56"/>
    <n v="174"/>
    <n v="58"/>
    <s v="pass"/>
  </r>
  <r>
    <x v="1"/>
    <s v="group C"/>
    <x v="5"/>
    <x v="0"/>
    <x v="0"/>
    <n v="49"/>
    <n v="49"/>
    <n v="41"/>
    <n v="139"/>
    <n v="46.333333333333336"/>
    <s v="pass"/>
  </r>
  <r>
    <x v="1"/>
    <s v="group B"/>
    <x v="3"/>
    <x v="1"/>
    <x v="0"/>
    <n v="44"/>
    <n v="41"/>
    <n v="38"/>
    <n v="123"/>
    <n v="41"/>
    <s v="pass"/>
  </r>
  <r>
    <x v="1"/>
    <s v="group E"/>
    <x v="5"/>
    <x v="0"/>
    <x v="0"/>
    <n v="30"/>
    <n v="26"/>
    <n v="22"/>
    <n v="78"/>
    <n v="26"/>
    <s v="fail"/>
  </r>
  <r>
    <x v="1"/>
    <s v="group A"/>
    <x v="0"/>
    <x v="0"/>
    <x v="1"/>
    <n v="80"/>
    <n v="78"/>
    <n v="81"/>
    <n v="239"/>
    <n v="79.666666666666671"/>
    <s v="pass"/>
  </r>
  <r>
    <x v="0"/>
    <s v="group D"/>
    <x v="5"/>
    <x v="0"/>
    <x v="1"/>
    <n v="61"/>
    <n v="74"/>
    <n v="72"/>
    <n v="207"/>
    <n v="69"/>
    <s v="pass"/>
  </r>
  <r>
    <x v="0"/>
    <s v="group E"/>
    <x v="2"/>
    <x v="0"/>
    <x v="0"/>
    <n v="62"/>
    <n v="68"/>
    <n v="68"/>
    <n v="198"/>
    <n v="66"/>
    <s v="pass"/>
  </r>
  <r>
    <x v="0"/>
    <s v="group B"/>
    <x v="3"/>
    <x v="0"/>
    <x v="0"/>
    <n v="47"/>
    <n v="49"/>
    <n v="50"/>
    <n v="146"/>
    <n v="48.666666666666664"/>
    <s v="pass"/>
  </r>
  <r>
    <x v="1"/>
    <s v="group B"/>
    <x v="4"/>
    <x v="1"/>
    <x v="0"/>
    <n v="49"/>
    <n v="45"/>
    <n v="45"/>
    <n v="139"/>
    <n v="46.333333333333336"/>
    <s v="pass"/>
  </r>
  <r>
    <x v="1"/>
    <s v="group A"/>
    <x v="1"/>
    <x v="1"/>
    <x v="1"/>
    <n v="50"/>
    <n v="47"/>
    <n v="54"/>
    <n v="151"/>
    <n v="50.333333333333336"/>
    <s v="pass"/>
  </r>
  <r>
    <x v="1"/>
    <s v="group E"/>
    <x v="3"/>
    <x v="0"/>
    <x v="0"/>
    <n v="72"/>
    <n v="64"/>
    <n v="63"/>
    <n v="199"/>
    <n v="66.333333333333329"/>
    <s v="pass"/>
  </r>
  <r>
    <x v="1"/>
    <s v="group D"/>
    <x v="4"/>
    <x v="1"/>
    <x v="0"/>
    <n v="42"/>
    <n v="39"/>
    <n v="34"/>
    <n v="115"/>
    <n v="38.333333333333336"/>
    <s v="fail"/>
  </r>
  <r>
    <x v="0"/>
    <s v="group C"/>
    <x v="1"/>
    <x v="0"/>
    <x v="0"/>
    <n v="73"/>
    <n v="80"/>
    <n v="82"/>
    <n v="235"/>
    <n v="78.333333333333329"/>
    <s v="pass"/>
  </r>
  <r>
    <x v="0"/>
    <s v="group C"/>
    <x v="1"/>
    <x v="1"/>
    <x v="0"/>
    <n v="76"/>
    <n v="83"/>
    <n v="88"/>
    <n v="247"/>
    <n v="82.333333333333329"/>
    <s v="pass"/>
  </r>
  <r>
    <x v="0"/>
    <s v="group D"/>
    <x v="3"/>
    <x v="0"/>
    <x v="0"/>
    <n v="71"/>
    <n v="71"/>
    <n v="74"/>
    <n v="216"/>
    <n v="72"/>
    <s v="pass"/>
  </r>
  <r>
    <x v="0"/>
    <s v="group A"/>
    <x v="1"/>
    <x v="0"/>
    <x v="0"/>
    <n v="58"/>
    <n v="70"/>
    <n v="67"/>
    <n v="195"/>
    <n v="65"/>
    <s v="pass"/>
  </r>
  <r>
    <x v="0"/>
    <s v="group D"/>
    <x v="5"/>
    <x v="0"/>
    <x v="0"/>
    <n v="73"/>
    <n v="86"/>
    <n v="82"/>
    <n v="241"/>
    <n v="80.333333333333329"/>
    <s v="pass"/>
  </r>
  <r>
    <x v="0"/>
    <s v="group C"/>
    <x v="0"/>
    <x v="0"/>
    <x v="0"/>
    <n v="65"/>
    <n v="72"/>
    <n v="74"/>
    <n v="211"/>
    <n v="70.333333333333329"/>
    <s v="pass"/>
  </r>
  <r>
    <x v="1"/>
    <s v="group C"/>
    <x v="4"/>
    <x v="1"/>
    <x v="0"/>
    <n v="27"/>
    <n v="34"/>
    <n v="36"/>
    <n v="97"/>
    <n v="32.333333333333336"/>
    <s v="fail"/>
  </r>
  <r>
    <x v="1"/>
    <s v="group C"/>
    <x v="4"/>
    <x v="0"/>
    <x v="0"/>
    <n v="71"/>
    <n v="79"/>
    <n v="71"/>
    <n v="221"/>
    <n v="73.666666666666671"/>
    <s v="pass"/>
  </r>
  <r>
    <x v="1"/>
    <s v="group C"/>
    <x v="3"/>
    <x v="1"/>
    <x v="1"/>
    <n v="43"/>
    <n v="45"/>
    <n v="50"/>
    <n v="138"/>
    <n v="46"/>
    <s v="pass"/>
  </r>
  <r>
    <x v="0"/>
    <s v="group B"/>
    <x v="1"/>
    <x v="0"/>
    <x v="0"/>
    <n v="79"/>
    <n v="86"/>
    <n v="92"/>
    <n v="257"/>
    <n v="85.666666666666671"/>
    <s v="pass"/>
  </r>
  <r>
    <x v="1"/>
    <s v="group C"/>
    <x v="3"/>
    <x v="1"/>
    <x v="1"/>
    <n v="78"/>
    <n v="81"/>
    <n v="82"/>
    <n v="241"/>
    <n v="80.333333333333329"/>
    <s v="pass"/>
  </r>
  <r>
    <x v="1"/>
    <s v="group B"/>
    <x v="5"/>
    <x v="0"/>
    <x v="1"/>
    <n v="65"/>
    <n v="66"/>
    <n v="62"/>
    <n v="193"/>
    <n v="64.333333333333329"/>
    <s v="pass"/>
  </r>
  <r>
    <x v="0"/>
    <s v="group E"/>
    <x v="1"/>
    <x v="0"/>
    <x v="1"/>
    <n v="63"/>
    <n v="72"/>
    <n v="70"/>
    <n v="205"/>
    <n v="68.333333333333329"/>
    <s v="pass"/>
  </r>
  <r>
    <x v="0"/>
    <s v="group D"/>
    <x v="1"/>
    <x v="1"/>
    <x v="0"/>
    <n v="58"/>
    <n v="67"/>
    <n v="62"/>
    <n v="187"/>
    <n v="62.333333333333336"/>
    <s v="pass"/>
  </r>
  <r>
    <x v="0"/>
    <s v="group D"/>
    <x v="0"/>
    <x v="0"/>
    <x v="0"/>
    <n v="65"/>
    <n v="67"/>
    <n v="62"/>
    <n v="194"/>
    <n v="64.666666666666671"/>
    <s v="pass"/>
  </r>
  <r>
    <x v="1"/>
    <s v="group B"/>
    <x v="1"/>
    <x v="0"/>
    <x v="0"/>
    <n v="79"/>
    <n v="67"/>
    <n v="67"/>
    <n v="213"/>
    <n v="71"/>
    <s v="pass"/>
  </r>
  <r>
    <x v="1"/>
    <s v="group D"/>
    <x v="0"/>
    <x v="0"/>
    <x v="1"/>
    <n v="68"/>
    <n v="74"/>
    <n v="74"/>
    <n v="216"/>
    <n v="72"/>
    <s v="pass"/>
  </r>
  <r>
    <x v="0"/>
    <s v="group D"/>
    <x v="3"/>
    <x v="0"/>
    <x v="0"/>
    <n v="85"/>
    <n v="91"/>
    <n v="89"/>
    <n v="265"/>
    <n v="88.333333333333329"/>
    <s v="pass"/>
  </r>
  <r>
    <x v="1"/>
    <s v="group B"/>
    <x v="4"/>
    <x v="0"/>
    <x v="1"/>
    <n v="60"/>
    <n v="44"/>
    <n v="47"/>
    <n v="151"/>
    <n v="50.333333333333336"/>
    <s v="pass"/>
  </r>
  <r>
    <x v="1"/>
    <s v="group C"/>
    <x v="1"/>
    <x v="0"/>
    <x v="1"/>
    <n v="98"/>
    <n v="86"/>
    <n v="90"/>
    <n v="274"/>
    <n v="91.333333333333329"/>
    <s v="pass"/>
  </r>
  <r>
    <x v="0"/>
    <s v="group C"/>
    <x v="1"/>
    <x v="0"/>
    <x v="0"/>
    <n v="58"/>
    <n v="67"/>
    <n v="72"/>
    <n v="197"/>
    <n v="65.666666666666671"/>
    <s v="pass"/>
  </r>
  <r>
    <x v="0"/>
    <s v="group D"/>
    <x v="2"/>
    <x v="0"/>
    <x v="0"/>
    <n v="87"/>
    <n v="100"/>
    <n v="100"/>
    <n v="287"/>
    <n v="95.666666666666671"/>
    <s v="pass"/>
  </r>
  <r>
    <x v="1"/>
    <s v="group E"/>
    <x v="3"/>
    <x v="0"/>
    <x v="1"/>
    <n v="66"/>
    <n v="63"/>
    <n v="64"/>
    <n v="193"/>
    <n v="64.333333333333329"/>
    <s v="pass"/>
  </r>
  <r>
    <x v="0"/>
    <s v="group B"/>
    <x v="3"/>
    <x v="1"/>
    <x v="0"/>
    <n v="52"/>
    <n v="76"/>
    <n v="70"/>
    <n v="198"/>
    <n v="66"/>
    <s v="pass"/>
  </r>
  <r>
    <x v="0"/>
    <s v="group B"/>
    <x v="5"/>
    <x v="0"/>
    <x v="0"/>
    <n v="70"/>
    <n v="64"/>
    <n v="72"/>
    <n v="206"/>
    <n v="68.666666666666671"/>
    <s v="pass"/>
  </r>
  <r>
    <x v="0"/>
    <s v="group D"/>
    <x v="3"/>
    <x v="1"/>
    <x v="1"/>
    <n v="77"/>
    <n v="89"/>
    <n v="98"/>
    <n v="264"/>
    <n v="88"/>
    <s v="pass"/>
  </r>
  <r>
    <x v="1"/>
    <s v="group C"/>
    <x v="4"/>
    <x v="0"/>
    <x v="0"/>
    <n v="62"/>
    <n v="55"/>
    <n v="49"/>
    <n v="166"/>
    <n v="55.333333333333336"/>
    <s v="pass"/>
  </r>
  <r>
    <x v="1"/>
    <s v="group A"/>
    <x v="3"/>
    <x v="0"/>
    <x v="0"/>
    <n v="54"/>
    <n v="53"/>
    <n v="47"/>
    <n v="154"/>
    <n v="51.333333333333336"/>
    <s v="pass"/>
  </r>
  <r>
    <x v="0"/>
    <s v="group D"/>
    <x v="1"/>
    <x v="0"/>
    <x v="0"/>
    <n v="51"/>
    <n v="58"/>
    <n v="54"/>
    <n v="163"/>
    <n v="54.333333333333336"/>
    <s v="pass"/>
  </r>
  <r>
    <x v="0"/>
    <s v="group E"/>
    <x v="0"/>
    <x v="0"/>
    <x v="1"/>
    <n v="99"/>
    <n v="100"/>
    <n v="100"/>
    <n v="299"/>
    <n v="99.666666666666671"/>
    <s v="pass"/>
  </r>
  <r>
    <x v="1"/>
    <s v="group C"/>
    <x v="4"/>
    <x v="0"/>
    <x v="0"/>
    <n v="84"/>
    <n v="77"/>
    <n v="74"/>
    <n v="235"/>
    <n v="78.333333333333329"/>
    <s v="pass"/>
  </r>
  <r>
    <x v="0"/>
    <s v="group B"/>
    <x v="0"/>
    <x v="1"/>
    <x v="0"/>
    <n v="75"/>
    <n v="85"/>
    <n v="82"/>
    <n v="242"/>
    <n v="80.666666666666671"/>
    <s v="pass"/>
  </r>
  <r>
    <x v="0"/>
    <s v="group D"/>
    <x v="0"/>
    <x v="0"/>
    <x v="0"/>
    <n v="78"/>
    <n v="82"/>
    <n v="79"/>
    <n v="239"/>
    <n v="79.666666666666671"/>
    <s v="pass"/>
  </r>
  <r>
    <x v="0"/>
    <s v="group D"/>
    <x v="5"/>
    <x v="0"/>
    <x v="0"/>
    <n v="51"/>
    <n v="63"/>
    <n v="61"/>
    <n v="175"/>
    <n v="58.333333333333336"/>
    <s v="pass"/>
  </r>
  <r>
    <x v="0"/>
    <s v="group C"/>
    <x v="1"/>
    <x v="0"/>
    <x v="0"/>
    <n v="55"/>
    <n v="69"/>
    <n v="65"/>
    <n v="189"/>
    <n v="63"/>
    <s v="pass"/>
  </r>
  <r>
    <x v="0"/>
    <s v="group C"/>
    <x v="0"/>
    <x v="0"/>
    <x v="1"/>
    <n v="79"/>
    <n v="92"/>
    <n v="89"/>
    <n v="260"/>
    <n v="86.666666666666671"/>
    <s v="pass"/>
  </r>
  <r>
    <x v="1"/>
    <s v="group B"/>
    <x v="3"/>
    <x v="0"/>
    <x v="1"/>
    <n v="91"/>
    <n v="89"/>
    <n v="92"/>
    <n v="272"/>
    <n v="90.666666666666671"/>
    <s v="pass"/>
  </r>
  <r>
    <x v="0"/>
    <s v="group C"/>
    <x v="1"/>
    <x v="0"/>
    <x v="1"/>
    <n v="88"/>
    <n v="93"/>
    <n v="93"/>
    <n v="274"/>
    <n v="91.333333333333329"/>
    <s v="pass"/>
  </r>
  <r>
    <x v="1"/>
    <s v="group D"/>
    <x v="4"/>
    <x v="1"/>
    <x v="0"/>
    <n v="63"/>
    <n v="57"/>
    <n v="56"/>
    <n v="176"/>
    <n v="58.666666666666664"/>
    <s v="pass"/>
  </r>
  <r>
    <x v="1"/>
    <s v="group E"/>
    <x v="1"/>
    <x v="0"/>
    <x v="0"/>
    <n v="83"/>
    <n v="80"/>
    <n v="73"/>
    <n v="236"/>
    <n v="78.666666666666671"/>
    <s v="pass"/>
  </r>
  <r>
    <x v="0"/>
    <s v="group B"/>
    <x v="4"/>
    <x v="0"/>
    <x v="0"/>
    <n v="87"/>
    <n v="95"/>
    <n v="86"/>
    <n v="268"/>
    <n v="89.333333333333329"/>
    <s v="pass"/>
  </r>
  <r>
    <x v="1"/>
    <s v="group B"/>
    <x v="5"/>
    <x v="0"/>
    <x v="0"/>
    <n v="72"/>
    <n v="68"/>
    <n v="67"/>
    <n v="207"/>
    <n v="69"/>
    <s v="pass"/>
  </r>
  <r>
    <x v="1"/>
    <s v="group D"/>
    <x v="1"/>
    <x v="0"/>
    <x v="1"/>
    <n v="65"/>
    <n v="77"/>
    <n v="74"/>
    <n v="216"/>
    <n v="72"/>
    <s v="pass"/>
  </r>
  <r>
    <x v="1"/>
    <s v="group D"/>
    <x v="2"/>
    <x v="0"/>
    <x v="0"/>
    <n v="82"/>
    <n v="82"/>
    <n v="74"/>
    <n v="238"/>
    <n v="79.333333333333329"/>
    <s v="pass"/>
  </r>
  <r>
    <x v="0"/>
    <s v="group A"/>
    <x v="0"/>
    <x v="0"/>
    <x v="0"/>
    <n v="51"/>
    <n v="49"/>
    <n v="51"/>
    <n v="151"/>
    <n v="50.333333333333336"/>
    <s v="pass"/>
  </r>
  <r>
    <x v="1"/>
    <s v="group D"/>
    <x v="2"/>
    <x v="0"/>
    <x v="0"/>
    <n v="89"/>
    <n v="84"/>
    <n v="82"/>
    <n v="255"/>
    <n v="85"/>
    <s v="pass"/>
  </r>
  <r>
    <x v="1"/>
    <s v="group C"/>
    <x v="5"/>
    <x v="1"/>
    <x v="1"/>
    <n v="53"/>
    <n v="37"/>
    <n v="40"/>
    <n v="130"/>
    <n v="43.333333333333336"/>
    <s v="pass"/>
  </r>
  <r>
    <x v="1"/>
    <s v="group E"/>
    <x v="1"/>
    <x v="1"/>
    <x v="1"/>
    <n v="87"/>
    <n v="74"/>
    <n v="70"/>
    <n v="231"/>
    <n v="77"/>
    <s v="pass"/>
  </r>
  <r>
    <x v="0"/>
    <s v="group C"/>
    <x v="1"/>
    <x v="0"/>
    <x v="1"/>
    <n v="75"/>
    <n v="81"/>
    <n v="84"/>
    <n v="240"/>
    <n v="80"/>
    <s v="pass"/>
  </r>
  <r>
    <x v="1"/>
    <s v="group D"/>
    <x v="0"/>
    <x v="1"/>
    <x v="1"/>
    <n v="74"/>
    <n v="79"/>
    <n v="75"/>
    <n v="228"/>
    <n v="76"/>
    <s v="pass"/>
  </r>
  <r>
    <x v="1"/>
    <s v="group C"/>
    <x v="0"/>
    <x v="0"/>
    <x v="0"/>
    <n v="58"/>
    <n v="55"/>
    <n v="48"/>
    <n v="161"/>
    <n v="53.666666666666664"/>
    <s v="pass"/>
  </r>
  <r>
    <x v="1"/>
    <s v="group B"/>
    <x v="5"/>
    <x v="0"/>
    <x v="1"/>
    <n v="51"/>
    <n v="54"/>
    <n v="41"/>
    <n v="146"/>
    <n v="48.666666666666664"/>
    <s v="pass"/>
  </r>
  <r>
    <x v="1"/>
    <s v="group E"/>
    <x v="4"/>
    <x v="0"/>
    <x v="0"/>
    <n v="70"/>
    <n v="55"/>
    <n v="56"/>
    <n v="181"/>
    <n v="60.333333333333336"/>
    <s v="pass"/>
  </r>
  <r>
    <x v="0"/>
    <s v="group C"/>
    <x v="3"/>
    <x v="0"/>
    <x v="0"/>
    <n v="59"/>
    <n v="66"/>
    <n v="67"/>
    <n v="192"/>
    <n v="64"/>
    <s v="pass"/>
  </r>
  <r>
    <x v="1"/>
    <s v="group D"/>
    <x v="1"/>
    <x v="0"/>
    <x v="1"/>
    <n v="71"/>
    <n v="61"/>
    <n v="69"/>
    <n v="201"/>
    <n v="67"/>
    <s v="pass"/>
  </r>
  <r>
    <x v="0"/>
    <s v="group D"/>
    <x v="5"/>
    <x v="0"/>
    <x v="0"/>
    <n v="76"/>
    <n v="72"/>
    <n v="71"/>
    <n v="219"/>
    <n v="73"/>
    <s v="pass"/>
  </r>
  <r>
    <x v="0"/>
    <s v="group C"/>
    <x v="1"/>
    <x v="1"/>
    <x v="0"/>
    <n v="59"/>
    <n v="62"/>
    <n v="64"/>
    <n v="185"/>
    <n v="61.666666666666664"/>
    <s v="pass"/>
  </r>
  <r>
    <x v="0"/>
    <s v="group E"/>
    <x v="1"/>
    <x v="1"/>
    <x v="1"/>
    <n v="42"/>
    <n v="55"/>
    <n v="54"/>
    <n v="151"/>
    <n v="50.333333333333336"/>
    <s v="pass"/>
  </r>
  <r>
    <x v="1"/>
    <s v="group A"/>
    <x v="4"/>
    <x v="0"/>
    <x v="0"/>
    <n v="57"/>
    <n v="43"/>
    <n v="47"/>
    <n v="147"/>
    <n v="49"/>
    <s v="pass"/>
  </r>
  <r>
    <x v="1"/>
    <s v="group D"/>
    <x v="1"/>
    <x v="0"/>
    <x v="0"/>
    <n v="88"/>
    <n v="73"/>
    <n v="78"/>
    <n v="239"/>
    <n v="79.666666666666671"/>
    <s v="pass"/>
  </r>
  <r>
    <x v="0"/>
    <s v="group C"/>
    <x v="1"/>
    <x v="1"/>
    <x v="0"/>
    <n v="22"/>
    <n v="39"/>
    <n v="33"/>
    <n v="94"/>
    <n v="31.333333333333332"/>
    <s v="fail"/>
  </r>
  <r>
    <x v="1"/>
    <s v="group B"/>
    <x v="5"/>
    <x v="0"/>
    <x v="0"/>
    <n v="88"/>
    <n v="84"/>
    <n v="75"/>
    <n v="247"/>
    <n v="82.333333333333329"/>
    <s v="pass"/>
  </r>
  <r>
    <x v="1"/>
    <s v="group C"/>
    <x v="3"/>
    <x v="1"/>
    <x v="0"/>
    <n v="73"/>
    <n v="68"/>
    <n v="66"/>
    <n v="207"/>
    <n v="69"/>
    <s v="pass"/>
  </r>
  <r>
    <x v="0"/>
    <s v="group D"/>
    <x v="0"/>
    <x v="0"/>
    <x v="1"/>
    <n v="68"/>
    <n v="75"/>
    <n v="81"/>
    <n v="224"/>
    <n v="74.666666666666671"/>
    <s v="pass"/>
  </r>
  <r>
    <x v="1"/>
    <s v="group E"/>
    <x v="3"/>
    <x v="1"/>
    <x v="1"/>
    <n v="100"/>
    <n v="100"/>
    <n v="93"/>
    <n v="293"/>
    <n v="97.666666666666671"/>
    <s v="pass"/>
  </r>
  <r>
    <x v="1"/>
    <s v="group A"/>
    <x v="5"/>
    <x v="0"/>
    <x v="1"/>
    <n v="62"/>
    <n v="67"/>
    <n v="69"/>
    <n v="198"/>
    <n v="66"/>
    <s v="pass"/>
  </r>
  <r>
    <x v="1"/>
    <s v="group A"/>
    <x v="0"/>
    <x v="0"/>
    <x v="0"/>
    <n v="77"/>
    <n v="67"/>
    <n v="68"/>
    <n v="212"/>
    <n v="70.666666666666671"/>
    <s v="pass"/>
  </r>
  <r>
    <x v="0"/>
    <s v="group B"/>
    <x v="3"/>
    <x v="0"/>
    <x v="1"/>
    <n v="59"/>
    <n v="70"/>
    <n v="66"/>
    <n v="195"/>
    <n v="65"/>
    <s v="pass"/>
  </r>
  <r>
    <x v="1"/>
    <s v="group D"/>
    <x v="0"/>
    <x v="0"/>
    <x v="0"/>
    <n v="54"/>
    <n v="49"/>
    <n v="47"/>
    <n v="150"/>
    <n v="50"/>
    <s v="pass"/>
  </r>
  <r>
    <x v="1"/>
    <s v="group D"/>
    <x v="5"/>
    <x v="0"/>
    <x v="0"/>
    <n v="62"/>
    <n v="67"/>
    <n v="61"/>
    <n v="190"/>
    <n v="63.333333333333336"/>
    <s v="pass"/>
  </r>
  <r>
    <x v="0"/>
    <s v="group C"/>
    <x v="1"/>
    <x v="0"/>
    <x v="1"/>
    <n v="70"/>
    <n v="89"/>
    <n v="88"/>
    <n v="247"/>
    <n v="82.333333333333329"/>
    <s v="pass"/>
  </r>
  <r>
    <x v="0"/>
    <s v="group E"/>
    <x v="4"/>
    <x v="1"/>
    <x v="1"/>
    <n v="66"/>
    <n v="74"/>
    <n v="78"/>
    <n v="218"/>
    <n v="72.666666666666671"/>
    <s v="pass"/>
  </r>
  <r>
    <x v="1"/>
    <s v="group B"/>
    <x v="1"/>
    <x v="1"/>
    <x v="0"/>
    <n v="60"/>
    <n v="60"/>
    <n v="60"/>
    <n v="180"/>
    <n v="60"/>
    <s v="pass"/>
  </r>
  <r>
    <x v="0"/>
    <s v="group B"/>
    <x v="3"/>
    <x v="0"/>
    <x v="1"/>
    <n v="61"/>
    <n v="86"/>
    <n v="87"/>
    <n v="234"/>
    <n v="78"/>
    <s v="pass"/>
  </r>
  <r>
    <x v="1"/>
    <s v="group D"/>
    <x v="3"/>
    <x v="1"/>
    <x v="0"/>
    <n v="66"/>
    <n v="62"/>
    <n v="64"/>
    <n v="192"/>
    <n v="64"/>
    <s v="pass"/>
  </r>
  <r>
    <x v="1"/>
    <s v="group B"/>
    <x v="3"/>
    <x v="1"/>
    <x v="1"/>
    <n v="82"/>
    <n v="78"/>
    <n v="74"/>
    <n v="234"/>
    <n v="78"/>
    <s v="pass"/>
  </r>
  <r>
    <x v="0"/>
    <s v="group E"/>
    <x v="1"/>
    <x v="1"/>
    <x v="1"/>
    <n v="75"/>
    <n v="88"/>
    <n v="85"/>
    <n v="248"/>
    <n v="82.666666666666671"/>
    <s v="pass"/>
  </r>
  <r>
    <x v="1"/>
    <s v="group B"/>
    <x v="2"/>
    <x v="1"/>
    <x v="0"/>
    <n v="49"/>
    <n v="53"/>
    <n v="52"/>
    <n v="154"/>
    <n v="51.333333333333336"/>
    <s v="pass"/>
  </r>
  <r>
    <x v="1"/>
    <s v="group C"/>
    <x v="4"/>
    <x v="0"/>
    <x v="0"/>
    <n v="52"/>
    <n v="53"/>
    <n v="49"/>
    <n v="154"/>
    <n v="51.333333333333336"/>
    <s v="pass"/>
  </r>
  <r>
    <x v="0"/>
    <s v="group E"/>
    <x v="2"/>
    <x v="0"/>
    <x v="0"/>
    <n v="81"/>
    <n v="92"/>
    <n v="91"/>
    <n v="264"/>
    <n v="88"/>
    <s v="pass"/>
  </r>
  <r>
    <x v="0"/>
    <s v="group C"/>
    <x v="0"/>
    <x v="0"/>
    <x v="1"/>
    <n v="96"/>
    <n v="100"/>
    <n v="100"/>
    <n v="296"/>
    <n v="98.666666666666671"/>
    <s v="pass"/>
  </r>
  <r>
    <x v="1"/>
    <s v="group C"/>
    <x v="4"/>
    <x v="1"/>
    <x v="1"/>
    <n v="53"/>
    <n v="51"/>
    <n v="51"/>
    <n v="155"/>
    <n v="51.666666666666664"/>
    <s v="pass"/>
  </r>
  <r>
    <x v="0"/>
    <s v="group B"/>
    <x v="2"/>
    <x v="1"/>
    <x v="1"/>
    <n v="58"/>
    <n v="76"/>
    <n v="78"/>
    <n v="212"/>
    <n v="70.666666666666671"/>
    <s v="pass"/>
  </r>
  <r>
    <x v="0"/>
    <s v="group B"/>
    <x v="4"/>
    <x v="0"/>
    <x v="1"/>
    <n v="68"/>
    <n v="83"/>
    <n v="78"/>
    <n v="229"/>
    <n v="76.333333333333329"/>
    <s v="pass"/>
  </r>
  <r>
    <x v="0"/>
    <s v="group C"/>
    <x v="1"/>
    <x v="1"/>
    <x v="1"/>
    <n v="67"/>
    <n v="75"/>
    <n v="70"/>
    <n v="212"/>
    <n v="70.666666666666671"/>
    <s v="pass"/>
  </r>
  <r>
    <x v="1"/>
    <s v="group A"/>
    <x v="4"/>
    <x v="0"/>
    <x v="1"/>
    <n v="72"/>
    <n v="73"/>
    <n v="74"/>
    <n v="219"/>
    <n v="73"/>
    <s v="pass"/>
  </r>
  <r>
    <x v="1"/>
    <s v="group E"/>
    <x v="5"/>
    <x v="0"/>
    <x v="0"/>
    <n v="94"/>
    <n v="88"/>
    <n v="78"/>
    <n v="260"/>
    <n v="86.666666666666671"/>
    <s v="pass"/>
  </r>
  <r>
    <x v="0"/>
    <s v="group D"/>
    <x v="1"/>
    <x v="0"/>
    <x v="0"/>
    <n v="79"/>
    <n v="86"/>
    <n v="81"/>
    <n v="246"/>
    <n v="82"/>
    <s v="pass"/>
  </r>
  <r>
    <x v="0"/>
    <s v="group C"/>
    <x v="3"/>
    <x v="0"/>
    <x v="0"/>
    <n v="63"/>
    <n v="67"/>
    <n v="70"/>
    <n v="200"/>
    <n v="66.666666666666671"/>
    <s v="pass"/>
  </r>
  <r>
    <x v="0"/>
    <s v="group C"/>
    <x v="0"/>
    <x v="1"/>
    <x v="1"/>
    <n v="43"/>
    <n v="51"/>
    <n v="54"/>
    <n v="148"/>
    <n v="49.333333333333336"/>
    <s v="pass"/>
  </r>
  <r>
    <x v="0"/>
    <s v="group C"/>
    <x v="2"/>
    <x v="0"/>
    <x v="1"/>
    <n v="81"/>
    <n v="91"/>
    <n v="87"/>
    <n v="259"/>
    <n v="86.333333333333329"/>
    <s v="pass"/>
  </r>
  <r>
    <x v="0"/>
    <s v="group B"/>
    <x v="4"/>
    <x v="1"/>
    <x v="1"/>
    <n v="46"/>
    <n v="54"/>
    <n v="58"/>
    <n v="158"/>
    <n v="52.666666666666664"/>
    <s v="pass"/>
  </r>
  <r>
    <x v="0"/>
    <s v="group C"/>
    <x v="3"/>
    <x v="0"/>
    <x v="1"/>
    <n v="71"/>
    <n v="77"/>
    <n v="77"/>
    <n v="225"/>
    <n v="75"/>
    <s v="pass"/>
  </r>
  <r>
    <x v="0"/>
    <s v="group B"/>
    <x v="2"/>
    <x v="1"/>
    <x v="1"/>
    <n v="52"/>
    <n v="70"/>
    <n v="62"/>
    <n v="184"/>
    <n v="61.333333333333336"/>
    <s v="pass"/>
  </r>
  <r>
    <x v="0"/>
    <s v="group D"/>
    <x v="5"/>
    <x v="0"/>
    <x v="1"/>
    <n v="97"/>
    <n v="100"/>
    <n v="100"/>
    <n v="297"/>
    <n v="99"/>
    <s v="pass"/>
  </r>
  <r>
    <x v="1"/>
    <s v="group C"/>
    <x v="2"/>
    <x v="1"/>
    <x v="1"/>
    <n v="62"/>
    <n v="68"/>
    <n v="75"/>
    <n v="205"/>
    <n v="68.333333333333329"/>
    <s v="pass"/>
  </r>
  <r>
    <x v="0"/>
    <s v="group C"/>
    <x v="1"/>
    <x v="1"/>
    <x v="0"/>
    <n v="46"/>
    <n v="64"/>
    <n v="66"/>
    <n v="176"/>
    <n v="58.666666666666664"/>
    <s v="pass"/>
  </r>
  <r>
    <x v="0"/>
    <s v="group E"/>
    <x v="4"/>
    <x v="0"/>
    <x v="0"/>
    <n v="50"/>
    <n v="50"/>
    <n v="47"/>
    <n v="147"/>
    <n v="49"/>
    <s v="pass"/>
  </r>
  <r>
    <x v="0"/>
    <s v="group D"/>
    <x v="3"/>
    <x v="0"/>
    <x v="0"/>
    <n v="65"/>
    <n v="69"/>
    <n v="70"/>
    <n v="204"/>
    <n v="68"/>
    <s v="pass"/>
  </r>
  <r>
    <x v="1"/>
    <s v="group C"/>
    <x v="5"/>
    <x v="1"/>
    <x v="1"/>
    <n v="45"/>
    <n v="52"/>
    <n v="49"/>
    <n v="146"/>
    <n v="48.666666666666664"/>
    <s v="pass"/>
  </r>
  <r>
    <x v="1"/>
    <s v="group C"/>
    <x v="3"/>
    <x v="1"/>
    <x v="1"/>
    <n v="65"/>
    <n v="67"/>
    <n v="65"/>
    <n v="197"/>
    <n v="65.666666666666671"/>
    <s v="pass"/>
  </r>
  <r>
    <x v="1"/>
    <s v="group E"/>
    <x v="4"/>
    <x v="0"/>
    <x v="0"/>
    <n v="80"/>
    <n v="76"/>
    <n v="65"/>
    <n v="221"/>
    <n v="73.666666666666671"/>
    <s v="pass"/>
  </r>
  <r>
    <x v="1"/>
    <s v="group D"/>
    <x v="5"/>
    <x v="0"/>
    <x v="1"/>
    <n v="62"/>
    <n v="66"/>
    <n v="68"/>
    <n v="196"/>
    <n v="65.333333333333329"/>
    <s v="pass"/>
  </r>
  <r>
    <x v="1"/>
    <s v="group B"/>
    <x v="5"/>
    <x v="1"/>
    <x v="0"/>
    <n v="48"/>
    <n v="52"/>
    <n v="45"/>
    <n v="145"/>
    <n v="48.333333333333336"/>
    <s v="pass"/>
  </r>
  <r>
    <x v="0"/>
    <s v="group C"/>
    <x v="0"/>
    <x v="0"/>
    <x v="0"/>
    <n v="77"/>
    <n v="88"/>
    <n v="87"/>
    <n v="252"/>
    <n v="84"/>
    <s v="pass"/>
  </r>
  <r>
    <x v="0"/>
    <s v="group E"/>
    <x v="3"/>
    <x v="0"/>
    <x v="0"/>
    <n v="66"/>
    <n v="65"/>
    <n v="69"/>
    <n v="200"/>
    <n v="66.666666666666671"/>
    <s v="pass"/>
  </r>
  <r>
    <x v="1"/>
    <s v="group D"/>
    <x v="1"/>
    <x v="0"/>
    <x v="1"/>
    <n v="76"/>
    <n v="83"/>
    <n v="79"/>
    <n v="238"/>
    <n v="79.333333333333329"/>
    <s v="pass"/>
  </r>
  <r>
    <x v="0"/>
    <s v="group B"/>
    <x v="5"/>
    <x v="0"/>
    <x v="0"/>
    <n v="62"/>
    <n v="64"/>
    <n v="66"/>
    <n v="192"/>
    <n v="64"/>
    <s v="pass"/>
  </r>
  <r>
    <x v="1"/>
    <s v="group D"/>
    <x v="1"/>
    <x v="0"/>
    <x v="1"/>
    <n v="77"/>
    <n v="62"/>
    <n v="62"/>
    <n v="201"/>
    <n v="67"/>
    <s v="pass"/>
  </r>
  <r>
    <x v="0"/>
    <s v="group C"/>
    <x v="2"/>
    <x v="0"/>
    <x v="1"/>
    <n v="69"/>
    <n v="84"/>
    <n v="85"/>
    <n v="238"/>
    <n v="79.333333333333329"/>
    <s v="pass"/>
  </r>
  <r>
    <x v="1"/>
    <s v="group D"/>
    <x v="3"/>
    <x v="0"/>
    <x v="0"/>
    <n v="61"/>
    <n v="55"/>
    <n v="52"/>
    <n v="168"/>
    <n v="56"/>
    <s v="pass"/>
  </r>
  <r>
    <x v="1"/>
    <s v="group C"/>
    <x v="5"/>
    <x v="1"/>
    <x v="1"/>
    <n v="59"/>
    <n v="69"/>
    <n v="65"/>
    <n v="193"/>
    <n v="64.333333333333329"/>
    <s v="pass"/>
  </r>
  <r>
    <x v="1"/>
    <s v="group E"/>
    <x v="4"/>
    <x v="1"/>
    <x v="0"/>
    <n v="55"/>
    <n v="56"/>
    <n v="51"/>
    <n v="162"/>
    <n v="54"/>
    <s v="pass"/>
  </r>
  <r>
    <x v="0"/>
    <s v="group B"/>
    <x v="1"/>
    <x v="1"/>
    <x v="0"/>
    <n v="45"/>
    <n v="53"/>
    <n v="55"/>
    <n v="153"/>
    <n v="51"/>
    <s v="pass"/>
  </r>
  <r>
    <x v="0"/>
    <s v="group B"/>
    <x v="0"/>
    <x v="1"/>
    <x v="0"/>
    <n v="78"/>
    <n v="79"/>
    <n v="76"/>
    <n v="233"/>
    <n v="77.666666666666671"/>
    <s v="pass"/>
  </r>
  <r>
    <x v="0"/>
    <s v="group C"/>
    <x v="3"/>
    <x v="0"/>
    <x v="1"/>
    <n v="67"/>
    <n v="84"/>
    <n v="86"/>
    <n v="237"/>
    <n v="79"/>
    <s v="pass"/>
  </r>
  <r>
    <x v="0"/>
    <s v="group D"/>
    <x v="1"/>
    <x v="1"/>
    <x v="0"/>
    <n v="65"/>
    <n v="81"/>
    <n v="77"/>
    <n v="223"/>
    <n v="74.333333333333329"/>
    <s v="pass"/>
  </r>
  <r>
    <x v="1"/>
    <s v="group C"/>
    <x v="3"/>
    <x v="0"/>
    <x v="0"/>
    <n v="69"/>
    <n v="77"/>
    <n v="69"/>
    <n v="215"/>
    <n v="71.666666666666671"/>
    <s v="pass"/>
  </r>
  <r>
    <x v="0"/>
    <s v="group B"/>
    <x v="3"/>
    <x v="0"/>
    <x v="0"/>
    <n v="57"/>
    <n v="69"/>
    <n v="68"/>
    <n v="194"/>
    <n v="64.666666666666671"/>
    <s v="pass"/>
  </r>
  <r>
    <x v="1"/>
    <s v="group C"/>
    <x v="1"/>
    <x v="0"/>
    <x v="0"/>
    <n v="59"/>
    <n v="41"/>
    <n v="42"/>
    <n v="142"/>
    <n v="47.333333333333336"/>
    <s v="pass"/>
  </r>
  <r>
    <x v="1"/>
    <s v="group D"/>
    <x v="5"/>
    <x v="0"/>
    <x v="1"/>
    <n v="74"/>
    <n v="71"/>
    <n v="78"/>
    <n v="223"/>
    <n v="74.333333333333329"/>
    <s v="pass"/>
  </r>
  <r>
    <x v="1"/>
    <s v="group E"/>
    <x v="0"/>
    <x v="0"/>
    <x v="0"/>
    <n v="82"/>
    <n v="62"/>
    <n v="62"/>
    <n v="206"/>
    <n v="68.666666666666671"/>
    <s v="pass"/>
  </r>
  <r>
    <x v="1"/>
    <s v="group E"/>
    <x v="4"/>
    <x v="0"/>
    <x v="1"/>
    <n v="81"/>
    <n v="80"/>
    <n v="76"/>
    <n v="237"/>
    <n v="79"/>
    <s v="pass"/>
  </r>
  <r>
    <x v="0"/>
    <s v="group B"/>
    <x v="1"/>
    <x v="1"/>
    <x v="0"/>
    <n v="74"/>
    <n v="81"/>
    <n v="76"/>
    <n v="231"/>
    <n v="77"/>
    <s v="pass"/>
  </r>
  <r>
    <x v="0"/>
    <s v="group B"/>
    <x v="1"/>
    <x v="1"/>
    <x v="0"/>
    <n v="58"/>
    <n v="61"/>
    <n v="66"/>
    <n v="185"/>
    <n v="61.666666666666664"/>
    <s v="pass"/>
  </r>
  <r>
    <x v="1"/>
    <s v="group D"/>
    <x v="5"/>
    <x v="1"/>
    <x v="1"/>
    <n v="80"/>
    <n v="79"/>
    <n v="79"/>
    <n v="238"/>
    <n v="79.333333333333329"/>
    <s v="pass"/>
  </r>
  <r>
    <x v="1"/>
    <s v="group C"/>
    <x v="1"/>
    <x v="1"/>
    <x v="0"/>
    <n v="35"/>
    <n v="28"/>
    <n v="27"/>
    <n v="90"/>
    <n v="30"/>
    <s v="fail"/>
  </r>
  <r>
    <x v="0"/>
    <s v="group C"/>
    <x v="4"/>
    <x v="1"/>
    <x v="0"/>
    <n v="42"/>
    <n v="62"/>
    <n v="60"/>
    <n v="164"/>
    <n v="54.666666666666664"/>
    <s v="pass"/>
  </r>
  <r>
    <x v="1"/>
    <s v="group C"/>
    <x v="3"/>
    <x v="1"/>
    <x v="1"/>
    <n v="60"/>
    <n v="51"/>
    <n v="56"/>
    <n v="167"/>
    <n v="55.666666666666664"/>
    <s v="pass"/>
  </r>
  <r>
    <x v="1"/>
    <s v="group E"/>
    <x v="4"/>
    <x v="0"/>
    <x v="1"/>
    <n v="87"/>
    <n v="91"/>
    <n v="81"/>
    <n v="259"/>
    <n v="86.333333333333329"/>
    <s v="pass"/>
  </r>
  <r>
    <x v="1"/>
    <s v="group B"/>
    <x v="5"/>
    <x v="0"/>
    <x v="1"/>
    <n v="84"/>
    <n v="83"/>
    <n v="75"/>
    <n v="242"/>
    <n v="80.666666666666671"/>
    <s v="pass"/>
  </r>
  <r>
    <x v="0"/>
    <s v="group E"/>
    <x v="3"/>
    <x v="1"/>
    <x v="1"/>
    <n v="83"/>
    <n v="86"/>
    <n v="88"/>
    <n v="257"/>
    <n v="85.666666666666671"/>
    <s v="pass"/>
  </r>
  <r>
    <x v="0"/>
    <s v="group C"/>
    <x v="4"/>
    <x v="1"/>
    <x v="0"/>
    <n v="34"/>
    <n v="42"/>
    <n v="39"/>
    <n v="115"/>
    <n v="38.333333333333336"/>
    <s v="fail"/>
  </r>
  <r>
    <x v="1"/>
    <s v="group B"/>
    <x v="4"/>
    <x v="1"/>
    <x v="0"/>
    <n v="66"/>
    <n v="77"/>
    <n v="70"/>
    <n v="213"/>
    <n v="71"/>
    <s v="pass"/>
  </r>
  <r>
    <x v="1"/>
    <s v="group B"/>
    <x v="5"/>
    <x v="0"/>
    <x v="1"/>
    <n v="61"/>
    <n v="56"/>
    <n v="56"/>
    <n v="173"/>
    <n v="57.666666666666664"/>
    <s v="pass"/>
  </r>
  <r>
    <x v="0"/>
    <s v="group D"/>
    <x v="4"/>
    <x v="0"/>
    <x v="1"/>
    <n v="56"/>
    <n v="68"/>
    <n v="74"/>
    <n v="198"/>
    <n v="66"/>
    <s v="pass"/>
  </r>
  <r>
    <x v="1"/>
    <s v="group B"/>
    <x v="3"/>
    <x v="0"/>
    <x v="0"/>
    <n v="87"/>
    <n v="85"/>
    <n v="73"/>
    <n v="245"/>
    <n v="81.666666666666671"/>
    <s v="pass"/>
  </r>
  <r>
    <x v="0"/>
    <s v="group C"/>
    <x v="5"/>
    <x v="1"/>
    <x v="0"/>
    <n v="55"/>
    <n v="65"/>
    <n v="62"/>
    <n v="182"/>
    <n v="60.666666666666664"/>
    <s v="pass"/>
  </r>
  <r>
    <x v="1"/>
    <s v="group D"/>
    <x v="5"/>
    <x v="0"/>
    <x v="0"/>
    <n v="86"/>
    <n v="80"/>
    <n v="75"/>
    <n v="241"/>
    <n v="80.333333333333329"/>
    <s v="pass"/>
  </r>
  <r>
    <x v="0"/>
    <s v="group B"/>
    <x v="3"/>
    <x v="0"/>
    <x v="1"/>
    <n v="52"/>
    <n v="66"/>
    <n v="73"/>
    <n v="191"/>
    <n v="63.666666666666664"/>
    <s v="pass"/>
  </r>
  <r>
    <x v="0"/>
    <s v="group E"/>
    <x v="2"/>
    <x v="1"/>
    <x v="0"/>
    <n v="45"/>
    <n v="56"/>
    <n v="54"/>
    <n v="155"/>
    <n v="51.666666666666664"/>
    <s v="pass"/>
  </r>
  <r>
    <x v="0"/>
    <s v="group C"/>
    <x v="1"/>
    <x v="0"/>
    <x v="0"/>
    <n v="72"/>
    <n v="72"/>
    <n v="71"/>
    <n v="215"/>
    <n v="71.666666666666671"/>
    <s v="pass"/>
  </r>
  <r>
    <x v="1"/>
    <s v="group D"/>
    <x v="4"/>
    <x v="0"/>
    <x v="0"/>
    <n v="57"/>
    <n v="50"/>
    <n v="54"/>
    <n v="161"/>
    <n v="53.666666666666664"/>
    <s v="pass"/>
  </r>
  <r>
    <x v="1"/>
    <s v="group A"/>
    <x v="5"/>
    <x v="1"/>
    <x v="0"/>
    <n v="68"/>
    <n v="72"/>
    <n v="64"/>
    <n v="204"/>
    <n v="68"/>
    <s v="pass"/>
  </r>
  <r>
    <x v="0"/>
    <s v="group C"/>
    <x v="1"/>
    <x v="0"/>
    <x v="1"/>
    <n v="88"/>
    <n v="95"/>
    <n v="94"/>
    <n v="277"/>
    <n v="92.333333333333329"/>
    <s v="pass"/>
  </r>
  <r>
    <x v="1"/>
    <s v="group D"/>
    <x v="1"/>
    <x v="0"/>
    <x v="0"/>
    <n v="76"/>
    <n v="64"/>
    <n v="66"/>
    <n v="206"/>
    <n v="68.666666666666671"/>
    <s v="pass"/>
  </r>
  <r>
    <x v="1"/>
    <s v="group C"/>
    <x v="3"/>
    <x v="0"/>
    <x v="0"/>
    <n v="46"/>
    <n v="43"/>
    <n v="42"/>
    <n v="131"/>
    <n v="43.666666666666664"/>
    <s v="pass"/>
  </r>
  <r>
    <x v="0"/>
    <s v="group B"/>
    <x v="0"/>
    <x v="0"/>
    <x v="0"/>
    <n v="67"/>
    <n v="86"/>
    <n v="83"/>
    <n v="236"/>
    <n v="78.666666666666671"/>
    <s v="pass"/>
  </r>
  <r>
    <x v="1"/>
    <s v="group E"/>
    <x v="5"/>
    <x v="0"/>
    <x v="0"/>
    <n v="92"/>
    <n v="87"/>
    <n v="78"/>
    <n v="257"/>
    <n v="85.666666666666671"/>
    <s v="pass"/>
  </r>
  <r>
    <x v="1"/>
    <s v="group C"/>
    <x v="0"/>
    <x v="0"/>
    <x v="1"/>
    <n v="83"/>
    <n v="82"/>
    <n v="84"/>
    <n v="249"/>
    <n v="83"/>
    <s v="pass"/>
  </r>
  <r>
    <x v="1"/>
    <s v="group D"/>
    <x v="3"/>
    <x v="0"/>
    <x v="0"/>
    <n v="80"/>
    <n v="75"/>
    <n v="77"/>
    <n v="232"/>
    <n v="77.333333333333329"/>
    <s v="pass"/>
  </r>
  <r>
    <x v="1"/>
    <s v="group D"/>
    <x v="0"/>
    <x v="1"/>
    <x v="0"/>
    <n v="63"/>
    <n v="66"/>
    <n v="67"/>
    <n v="196"/>
    <n v="65.333333333333329"/>
    <s v="pass"/>
  </r>
  <r>
    <x v="0"/>
    <s v="group D"/>
    <x v="5"/>
    <x v="0"/>
    <x v="1"/>
    <n v="64"/>
    <n v="60"/>
    <n v="74"/>
    <n v="198"/>
    <n v="66"/>
    <s v="pass"/>
  </r>
  <r>
    <x v="1"/>
    <s v="group B"/>
    <x v="1"/>
    <x v="0"/>
    <x v="0"/>
    <n v="54"/>
    <n v="52"/>
    <n v="51"/>
    <n v="157"/>
    <n v="52.333333333333336"/>
    <s v="pass"/>
  </r>
  <r>
    <x v="1"/>
    <s v="group C"/>
    <x v="3"/>
    <x v="0"/>
    <x v="0"/>
    <n v="84"/>
    <n v="80"/>
    <n v="80"/>
    <n v="244"/>
    <n v="81.333333333333329"/>
    <s v="pass"/>
  </r>
  <r>
    <x v="1"/>
    <s v="group D"/>
    <x v="4"/>
    <x v="1"/>
    <x v="1"/>
    <n v="73"/>
    <n v="68"/>
    <n v="66"/>
    <n v="207"/>
    <n v="69"/>
    <s v="pass"/>
  </r>
  <r>
    <x v="0"/>
    <s v="group E"/>
    <x v="0"/>
    <x v="0"/>
    <x v="0"/>
    <n v="80"/>
    <n v="83"/>
    <n v="83"/>
    <n v="246"/>
    <n v="82"/>
    <s v="pass"/>
  </r>
  <r>
    <x v="0"/>
    <s v="group D"/>
    <x v="4"/>
    <x v="0"/>
    <x v="0"/>
    <n v="56"/>
    <n v="52"/>
    <n v="55"/>
    <n v="163"/>
    <n v="54.333333333333336"/>
    <s v="pass"/>
  </r>
  <r>
    <x v="1"/>
    <s v="group E"/>
    <x v="1"/>
    <x v="0"/>
    <x v="0"/>
    <n v="59"/>
    <n v="51"/>
    <n v="43"/>
    <n v="153"/>
    <n v="51"/>
    <s v="pass"/>
  </r>
  <r>
    <x v="1"/>
    <s v="group D"/>
    <x v="5"/>
    <x v="0"/>
    <x v="0"/>
    <n v="75"/>
    <n v="74"/>
    <n v="69"/>
    <n v="218"/>
    <n v="72.666666666666671"/>
    <s v="pass"/>
  </r>
  <r>
    <x v="1"/>
    <s v="group C"/>
    <x v="3"/>
    <x v="0"/>
    <x v="0"/>
    <n v="85"/>
    <n v="76"/>
    <n v="71"/>
    <n v="232"/>
    <n v="77.333333333333329"/>
    <s v="pass"/>
  </r>
  <r>
    <x v="1"/>
    <s v="group E"/>
    <x v="3"/>
    <x v="0"/>
    <x v="0"/>
    <n v="89"/>
    <n v="76"/>
    <n v="74"/>
    <n v="239"/>
    <n v="79.666666666666671"/>
    <s v="pass"/>
  </r>
  <r>
    <x v="0"/>
    <s v="group B"/>
    <x v="4"/>
    <x v="0"/>
    <x v="1"/>
    <n v="58"/>
    <n v="70"/>
    <n v="68"/>
    <n v="196"/>
    <n v="65.333333333333329"/>
    <s v="pass"/>
  </r>
  <r>
    <x v="0"/>
    <s v="group B"/>
    <x v="4"/>
    <x v="0"/>
    <x v="0"/>
    <n v="65"/>
    <n v="64"/>
    <n v="62"/>
    <n v="191"/>
    <n v="63.666666666666664"/>
    <s v="pass"/>
  </r>
  <r>
    <x v="1"/>
    <s v="group C"/>
    <x v="4"/>
    <x v="0"/>
    <x v="0"/>
    <n v="68"/>
    <n v="60"/>
    <n v="53"/>
    <n v="181"/>
    <n v="60.333333333333336"/>
    <s v="pass"/>
  </r>
  <r>
    <x v="1"/>
    <s v="group A"/>
    <x v="5"/>
    <x v="0"/>
    <x v="1"/>
    <n v="47"/>
    <n v="49"/>
    <n v="49"/>
    <n v="145"/>
    <n v="48.333333333333336"/>
    <s v="pass"/>
  </r>
  <r>
    <x v="0"/>
    <s v="group D"/>
    <x v="1"/>
    <x v="1"/>
    <x v="0"/>
    <n v="71"/>
    <n v="83"/>
    <n v="83"/>
    <n v="237"/>
    <n v="79"/>
    <s v="pass"/>
  </r>
  <r>
    <x v="0"/>
    <s v="group B"/>
    <x v="5"/>
    <x v="0"/>
    <x v="1"/>
    <n v="60"/>
    <n v="70"/>
    <n v="70"/>
    <n v="200"/>
    <n v="66.666666666666671"/>
    <s v="pass"/>
  </r>
  <r>
    <x v="1"/>
    <s v="group D"/>
    <x v="2"/>
    <x v="0"/>
    <x v="0"/>
    <n v="80"/>
    <n v="80"/>
    <n v="72"/>
    <n v="232"/>
    <n v="77.333333333333329"/>
    <s v="pass"/>
  </r>
  <r>
    <x v="1"/>
    <s v="group D"/>
    <x v="4"/>
    <x v="0"/>
    <x v="0"/>
    <n v="54"/>
    <n v="52"/>
    <n v="52"/>
    <n v="158"/>
    <n v="52.666666666666664"/>
    <s v="pass"/>
  </r>
  <r>
    <x v="0"/>
    <s v="group E"/>
    <x v="1"/>
    <x v="0"/>
    <x v="0"/>
    <n v="62"/>
    <n v="73"/>
    <n v="70"/>
    <n v="205"/>
    <n v="68.333333333333329"/>
    <s v="pass"/>
  </r>
  <r>
    <x v="0"/>
    <s v="group C"/>
    <x v="3"/>
    <x v="1"/>
    <x v="0"/>
    <n v="64"/>
    <n v="73"/>
    <n v="68"/>
    <n v="205"/>
    <n v="68.333333333333329"/>
    <s v="pass"/>
  </r>
  <r>
    <x v="1"/>
    <s v="group C"/>
    <x v="3"/>
    <x v="0"/>
    <x v="1"/>
    <n v="78"/>
    <n v="77"/>
    <n v="77"/>
    <n v="232"/>
    <n v="77.333333333333329"/>
    <s v="pass"/>
  </r>
  <r>
    <x v="0"/>
    <s v="group B"/>
    <x v="1"/>
    <x v="0"/>
    <x v="0"/>
    <n v="70"/>
    <n v="75"/>
    <n v="78"/>
    <n v="223"/>
    <n v="74.333333333333329"/>
    <s v="pass"/>
  </r>
  <r>
    <x v="0"/>
    <s v="group C"/>
    <x v="2"/>
    <x v="1"/>
    <x v="1"/>
    <n v="65"/>
    <n v="81"/>
    <n v="81"/>
    <n v="227"/>
    <n v="75.666666666666671"/>
    <s v="pass"/>
  </r>
  <r>
    <x v="0"/>
    <s v="group C"/>
    <x v="5"/>
    <x v="1"/>
    <x v="1"/>
    <n v="64"/>
    <n v="79"/>
    <n v="77"/>
    <n v="220"/>
    <n v="73.333333333333329"/>
    <s v="pass"/>
  </r>
  <r>
    <x v="1"/>
    <s v="group C"/>
    <x v="1"/>
    <x v="0"/>
    <x v="1"/>
    <n v="79"/>
    <n v="79"/>
    <n v="78"/>
    <n v="236"/>
    <n v="78.666666666666671"/>
    <s v="pass"/>
  </r>
  <r>
    <x v="0"/>
    <s v="group C"/>
    <x v="5"/>
    <x v="1"/>
    <x v="0"/>
    <n v="44"/>
    <n v="50"/>
    <n v="51"/>
    <n v="145"/>
    <n v="48.333333333333336"/>
    <s v="pass"/>
  </r>
  <r>
    <x v="0"/>
    <s v="group E"/>
    <x v="4"/>
    <x v="0"/>
    <x v="0"/>
    <n v="99"/>
    <n v="93"/>
    <n v="90"/>
    <n v="282"/>
    <n v="94"/>
    <s v="pass"/>
  </r>
  <r>
    <x v="1"/>
    <s v="group D"/>
    <x v="4"/>
    <x v="0"/>
    <x v="0"/>
    <n v="76"/>
    <n v="73"/>
    <n v="68"/>
    <n v="217"/>
    <n v="72.333333333333329"/>
    <s v="pass"/>
  </r>
  <r>
    <x v="1"/>
    <s v="group D"/>
    <x v="5"/>
    <x v="1"/>
    <x v="0"/>
    <n v="59"/>
    <n v="42"/>
    <n v="41"/>
    <n v="142"/>
    <n v="47.333333333333336"/>
    <s v="pass"/>
  </r>
  <r>
    <x v="0"/>
    <s v="group C"/>
    <x v="0"/>
    <x v="0"/>
    <x v="0"/>
    <n v="63"/>
    <n v="75"/>
    <n v="81"/>
    <n v="219"/>
    <n v="73"/>
    <s v="pass"/>
  </r>
  <r>
    <x v="0"/>
    <s v="group D"/>
    <x v="4"/>
    <x v="0"/>
    <x v="0"/>
    <n v="69"/>
    <n v="72"/>
    <n v="77"/>
    <n v="218"/>
    <n v="72.666666666666671"/>
    <s v="pass"/>
  </r>
  <r>
    <x v="0"/>
    <s v="group D"/>
    <x v="3"/>
    <x v="0"/>
    <x v="1"/>
    <n v="88"/>
    <n v="92"/>
    <n v="95"/>
    <n v="275"/>
    <n v="91.666666666666671"/>
    <s v="pass"/>
  </r>
  <r>
    <x v="0"/>
    <s v="group E"/>
    <x v="1"/>
    <x v="1"/>
    <x v="0"/>
    <n v="71"/>
    <n v="76"/>
    <n v="70"/>
    <n v="217"/>
    <n v="72.333333333333329"/>
    <s v="pass"/>
  </r>
  <r>
    <x v="1"/>
    <s v="group C"/>
    <x v="0"/>
    <x v="0"/>
    <x v="0"/>
    <n v="69"/>
    <n v="63"/>
    <n v="61"/>
    <n v="193"/>
    <n v="64.333333333333329"/>
    <s v="pass"/>
  </r>
  <r>
    <x v="1"/>
    <s v="group C"/>
    <x v="1"/>
    <x v="0"/>
    <x v="0"/>
    <n v="58"/>
    <n v="49"/>
    <n v="42"/>
    <n v="149"/>
    <n v="49.666666666666664"/>
    <s v="pass"/>
  </r>
  <r>
    <x v="0"/>
    <s v="group D"/>
    <x v="3"/>
    <x v="1"/>
    <x v="0"/>
    <n v="47"/>
    <n v="53"/>
    <n v="58"/>
    <n v="158"/>
    <n v="52.666666666666664"/>
    <s v="pass"/>
  </r>
  <r>
    <x v="0"/>
    <s v="group D"/>
    <x v="1"/>
    <x v="0"/>
    <x v="0"/>
    <n v="65"/>
    <n v="70"/>
    <n v="71"/>
    <n v="206"/>
    <n v="68.666666666666671"/>
    <s v="pass"/>
  </r>
  <r>
    <x v="1"/>
    <s v="group B"/>
    <x v="1"/>
    <x v="0"/>
    <x v="1"/>
    <n v="88"/>
    <n v="85"/>
    <n v="76"/>
    <n v="249"/>
    <n v="83"/>
    <s v="pass"/>
  </r>
  <r>
    <x v="1"/>
    <s v="group C"/>
    <x v="0"/>
    <x v="0"/>
    <x v="0"/>
    <n v="83"/>
    <n v="78"/>
    <n v="73"/>
    <n v="234"/>
    <n v="78"/>
    <s v="pass"/>
  </r>
  <r>
    <x v="0"/>
    <s v="group C"/>
    <x v="5"/>
    <x v="0"/>
    <x v="1"/>
    <n v="85"/>
    <n v="92"/>
    <n v="93"/>
    <n v="270"/>
    <n v="90"/>
    <s v="pass"/>
  </r>
  <r>
    <x v="0"/>
    <s v="group E"/>
    <x v="4"/>
    <x v="0"/>
    <x v="1"/>
    <n v="59"/>
    <n v="63"/>
    <n v="75"/>
    <n v="197"/>
    <n v="65.666666666666671"/>
    <s v="pass"/>
  </r>
  <r>
    <x v="0"/>
    <s v="group C"/>
    <x v="5"/>
    <x v="1"/>
    <x v="0"/>
    <n v="65"/>
    <n v="86"/>
    <n v="80"/>
    <n v="231"/>
    <n v="77"/>
    <s v="pass"/>
  </r>
  <r>
    <x v="1"/>
    <s v="group B"/>
    <x v="0"/>
    <x v="1"/>
    <x v="0"/>
    <n v="73"/>
    <n v="56"/>
    <n v="57"/>
    <n v="186"/>
    <n v="62"/>
    <s v="pass"/>
  </r>
  <r>
    <x v="1"/>
    <s v="group D"/>
    <x v="4"/>
    <x v="0"/>
    <x v="0"/>
    <n v="53"/>
    <n v="52"/>
    <n v="42"/>
    <n v="147"/>
    <n v="49"/>
    <s v="pass"/>
  </r>
  <r>
    <x v="1"/>
    <s v="group D"/>
    <x v="4"/>
    <x v="0"/>
    <x v="0"/>
    <n v="45"/>
    <n v="48"/>
    <n v="46"/>
    <n v="139"/>
    <n v="46.333333333333336"/>
    <s v="pass"/>
  </r>
  <r>
    <x v="0"/>
    <s v="group D"/>
    <x v="0"/>
    <x v="1"/>
    <x v="0"/>
    <n v="73"/>
    <n v="79"/>
    <n v="84"/>
    <n v="236"/>
    <n v="78.666666666666671"/>
    <s v="pass"/>
  </r>
  <r>
    <x v="0"/>
    <s v="group D"/>
    <x v="1"/>
    <x v="1"/>
    <x v="1"/>
    <n v="70"/>
    <n v="78"/>
    <n v="78"/>
    <n v="226"/>
    <n v="75.333333333333329"/>
    <s v="pass"/>
  </r>
  <r>
    <x v="0"/>
    <s v="group B"/>
    <x v="5"/>
    <x v="0"/>
    <x v="0"/>
    <n v="37"/>
    <n v="46"/>
    <n v="46"/>
    <n v="129"/>
    <n v="43"/>
    <s v="pass"/>
  </r>
  <r>
    <x v="1"/>
    <s v="group B"/>
    <x v="3"/>
    <x v="0"/>
    <x v="1"/>
    <n v="81"/>
    <n v="82"/>
    <n v="82"/>
    <n v="245"/>
    <n v="81.666666666666671"/>
    <s v="pass"/>
  </r>
  <r>
    <x v="1"/>
    <s v="group E"/>
    <x v="3"/>
    <x v="0"/>
    <x v="1"/>
    <n v="97"/>
    <n v="82"/>
    <n v="88"/>
    <n v="267"/>
    <n v="89"/>
    <s v="pass"/>
  </r>
  <r>
    <x v="0"/>
    <s v="group B"/>
    <x v="5"/>
    <x v="0"/>
    <x v="0"/>
    <n v="67"/>
    <n v="89"/>
    <n v="82"/>
    <n v="238"/>
    <n v="79.333333333333329"/>
    <s v="pass"/>
  </r>
  <r>
    <x v="1"/>
    <s v="group B"/>
    <x v="0"/>
    <x v="1"/>
    <x v="0"/>
    <n v="88"/>
    <n v="75"/>
    <n v="76"/>
    <n v="239"/>
    <n v="79.666666666666671"/>
    <s v="pass"/>
  </r>
  <r>
    <x v="1"/>
    <s v="group E"/>
    <x v="5"/>
    <x v="0"/>
    <x v="1"/>
    <n v="77"/>
    <n v="76"/>
    <n v="77"/>
    <n v="230"/>
    <n v="76.666666666666671"/>
    <s v="pass"/>
  </r>
  <r>
    <x v="1"/>
    <s v="group C"/>
    <x v="3"/>
    <x v="0"/>
    <x v="0"/>
    <n v="76"/>
    <n v="70"/>
    <n v="68"/>
    <n v="214"/>
    <n v="71.333333333333329"/>
    <s v="pass"/>
  </r>
  <r>
    <x v="1"/>
    <s v="group D"/>
    <x v="5"/>
    <x v="0"/>
    <x v="0"/>
    <n v="86"/>
    <n v="73"/>
    <n v="70"/>
    <n v="229"/>
    <n v="76.333333333333329"/>
    <s v="pass"/>
  </r>
  <r>
    <x v="1"/>
    <s v="group C"/>
    <x v="5"/>
    <x v="0"/>
    <x v="1"/>
    <n v="63"/>
    <n v="60"/>
    <n v="57"/>
    <n v="180"/>
    <n v="60"/>
    <s v="pass"/>
  </r>
  <r>
    <x v="0"/>
    <s v="group E"/>
    <x v="0"/>
    <x v="0"/>
    <x v="0"/>
    <n v="65"/>
    <n v="73"/>
    <n v="75"/>
    <n v="213"/>
    <n v="71"/>
    <s v="pass"/>
  </r>
  <r>
    <x v="1"/>
    <s v="group D"/>
    <x v="4"/>
    <x v="1"/>
    <x v="1"/>
    <n v="78"/>
    <n v="77"/>
    <n v="80"/>
    <n v="235"/>
    <n v="78.333333333333329"/>
    <s v="pass"/>
  </r>
  <r>
    <x v="1"/>
    <s v="group B"/>
    <x v="3"/>
    <x v="1"/>
    <x v="0"/>
    <n v="67"/>
    <n v="62"/>
    <n v="60"/>
    <n v="189"/>
    <n v="63"/>
    <s v="pass"/>
  </r>
  <r>
    <x v="1"/>
    <s v="group A"/>
    <x v="5"/>
    <x v="0"/>
    <x v="1"/>
    <n v="46"/>
    <n v="41"/>
    <n v="43"/>
    <n v="130"/>
    <n v="43.333333333333336"/>
    <s v="pass"/>
  </r>
  <r>
    <x v="1"/>
    <s v="group E"/>
    <x v="3"/>
    <x v="0"/>
    <x v="1"/>
    <n v="71"/>
    <n v="74"/>
    <n v="68"/>
    <n v="213"/>
    <n v="71"/>
    <s v="pass"/>
  </r>
  <r>
    <x v="1"/>
    <s v="group C"/>
    <x v="4"/>
    <x v="1"/>
    <x v="1"/>
    <n v="40"/>
    <n v="46"/>
    <n v="50"/>
    <n v="136"/>
    <n v="45.333333333333336"/>
    <s v="pass"/>
  </r>
  <r>
    <x v="1"/>
    <s v="group D"/>
    <x v="3"/>
    <x v="1"/>
    <x v="0"/>
    <n v="90"/>
    <n v="87"/>
    <n v="75"/>
    <n v="252"/>
    <n v="84"/>
    <s v="pass"/>
  </r>
  <r>
    <x v="1"/>
    <s v="group A"/>
    <x v="1"/>
    <x v="1"/>
    <x v="1"/>
    <n v="81"/>
    <n v="78"/>
    <n v="81"/>
    <n v="240"/>
    <n v="80"/>
    <s v="pass"/>
  </r>
  <r>
    <x v="1"/>
    <s v="group D"/>
    <x v="5"/>
    <x v="1"/>
    <x v="0"/>
    <n v="56"/>
    <n v="54"/>
    <n v="52"/>
    <n v="162"/>
    <n v="54"/>
    <s v="pass"/>
  </r>
  <r>
    <x v="0"/>
    <s v="group C"/>
    <x v="3"/>
    <x v="0"/>
    <x v="1"/>
    <n v="67"/>
    <n v="84"/>
    <n v="81"/>
    <n v="232"/>
    <n v="77.333333333333329"/>
    <s v="pass"/>
  </r>
  <r>
    <x v="1"/>
    <s v="group B"/>
    <x v="3"/>
    <x v="0"/>
    <x v="0"/>
    <n v="80"/>
    <n v="76"/>
    <n v="64"/>
    <n v="220"/>
    <n v="73.333333333333329"/>
    <s v="pass"/>
  </r>
  <r>
    <x v="0"/>
    <s v="group C"/>
    <x v="3"/>
    <x v="0"/>
    <x v="1"/>
    <n v="74"/>
    <n v="75"/>
    <n v="83"/>
    <n v="232"/>
    <n v="77.333333333333329"/>
    <s v="pass"/>
  </r>
  <r>
    <x v="1"/>
    <s v="group A"/>
    <x v="1"/>
    <x v="0"/>
    <x v="0"/>
    <n v="69"/>
    <n v="67"/>
    <n v="69"/>
    <n v="205"/>
    <n v="68.333333333333329"/>
    <s v="pass"/>
  </r>
  <r>
    <x v="1"/>
    <s v="group E"/>
    <x v="1"/>
    <x v="0"/>
    <x v="1"/>
    <n v="99"/>
    <n v="87"/>
    <n v="81"/>
    <n v="267"/>
    <n v="89"/>
    <s v="pass"/>
  </r>
  <r>
    <x v="1"/>
    <s v="group C"/>
    <x v="5"/>
    <x v="0"/>
    <x v="0"/>
    <n v="51"/>
    <n v="52"/>
    <n v="44"/>
    <n v="147"/>
    <n v="49"/>
    <s v="pass"/>
  </r>
  <r>
    <x v="0"/>
    <s v="group B"/>
    <x v="3"/>
    <x v="1"/>
    <x v="0"/>
    <n v="53"/>
    <n v="71"/>
    <n v="67"/>
    <n v="191"/>
    <n v="63.666666666666664"/>
    <s v="pass"/>
  </r>
  <r>
    <x v="0"/>
    <s v="group D"/>
    <x v="4"/>
    <x v="1"/>
    <x v="0"/>
    <n v="49"/>
    <n v="57"/>
    <n v="52"/>
    <n v="158"/>
    <n v="52.666666666666664"/>
    <s v="pass"/>
  </r>
  <r>
    <x v="0"/>
    <s v="group B"/>
    <x v="3"/>
    <x v="0"/>
    <x v="0"/>
    <n v="73"/>
    <n v="76"/>
    <n v="80"/>
    <n v="229"/>
    <n v="76.333333333333329"/>
    <s v="pass"/>
  </r>
  <r>
    <x v="1"/>
    <s v="group B"/>
    <x v="0"/>
    <x v="0"/>
    <x v="0"/>
    <n v="66"/>
    <n v="60"/>
    <n v="57"/>
    <n v="183"/>
    <n v="61"/>
    <s v="pass"/>
  </r>
  <r>
    <x v="1"/>
    <s v="group D"/>
    <x v="0"/>
    <x v="0"/>
    <x v="1"/>
    <n v="67"/>
    <n v="61"/>
    <n v="68"/>
    <n v="196"/>
    <n v="65.333333333333329"/>
    <s v="pass"/>
  </r>
  <r>
    <x v="0"/>
    <s v="group C"/>
    <x v="3"/>
    <x v="1"/>
    <x v="1"/>
    <n v="68"/>
    <n v="67"/>
    <n v="69"/>
    <n v="204"/>
    <n v="68"/>
    <s v="pass"/>
  </r>
  <r>
    <x v="0"/>
    <s v="group C"/>
    <x v="0"/>
    <x v="0"/>
    <x v="1"/>
    <n v="59"/>
    <n v="64"/>
    <n v="75"/>
    <n v="198"/>
    <n v="66"/>
    <s v="pass"/>
  </r>
  <r>
    <x v="1"/>
    <s v="group C"/>
    <x v="4"/>
    <x v="0"/>
    <x v="0"/>
    <n v="71"/>
    <n v="66"/>
    <n v="65"/>
    <n v="202"/>
    <n v="67.333333333333329"/>
    <s v="pass"/>
  </r>
  <r>
    <x v="0"/>
    <s v="group D"/>
    <x v="2"/>
    <x v="0"/>
    <x v="1"/>
    <n v="77"/>
    <n v="82"/>
    <n v="91"/>
    <n v="250"/>
    <n v="83.333333333333329"/>
    <s v="pass"/>
  </r>
  <r>
    <x v="1"/>
    <s v="group C"/>
    <x v="3"/>
    <x v="0"/>
    <x v="0"/>
    <n v="83"/>
    <n v="72"/>
    <n v="78"/>
    <n v="233"/>
    <n v="77.666666666666671"/>
    <s v="pass"/>
  </r>
  <r>
    <x v="1"/>
    <s v="group B"/>
    <x v="0"/>
    <x v="0"/>
    <x v="0"/>
    <n v="63"/>
    <n v="71"/>
    <n v="69"/>
    <n v="203"/>
    <n v="67.666666666666671"/>
    <s v="pass"/>
  </r>
  <r>
    <x v="0"/>
    <s v="group D"/>
    <x v="3"/>
    <x v="1"/>
    <x v="0"/>
    <n v="56"/>
    <n v="65"/>
    <n v="63"/>
    <n v="184"/>
    <n v="61.333333333333336"/>
    <s v="pass"/>
  </r>
  <r>
    <x v="0"/>
    <s v="group C"/>
    <x v="4"/>
    <x v="1"/>
    <x v="1"/>
    <n v="67"/>
    <n v="79"/>
    <n v="84"/>
    <n v="230"/>
    <n v="76.666666666666671"/>
    <s v="pass"/>
  </r>
  <r>
    <x v="0"/>
    <s v="group E"/>
    <x v="4"/>
    <x v="0"/>
    <x v="0"/>
    <n v="75"/>
    <n v="86"/>
    <n v="79"/>
    <n v="240"/>
    <n v="80"/>
    <s v="pass"/>
  </r>
  <r>
    <x v="0"/>
    <s v="group C"/>
    <x v="1"/>
    <x v="0"/>
    <x v="0"/>
    <n v="71"/>
    <n v="81"/>
    <n v="80"/>
    <n v="232"/>
    <n v="77.333333333333329"/>
    <s v="pass"/>
  </r>
  <r>
    <x v="0"/>
    <s v="group C"/>
    <x v="5"/>
    <x v="1"/>
    <x v="0"/>
    <n v="43"/>
    <n v="53"/>
    <n v="53"/>
    <n v="149"/>
    <n v="49.666666666666664"/>
    <s v="pass"/>
  </r>
  <r>
    <x v="0"/>
    <s v="group C"/>
    <x v="4"/>
    <x v="1"/>
    <x v="0"/>
    <n v="41"/>
    <n v="46"/>
    <n v="43"/>
    <n v="130"/>
    <n v="43.333333333333336"/>
    <s v="pass"/>
  </r>
  <r>
    <x v="0"/>
    <s v="group C"/>
    <x v="1"/>
    <x v="0"/>
    <x v="0"/>
    <n v="82"/>
    <n v="90"/>
    <n v="94"/>
    <n v="266"/>
    <n v="88.666666666666671"/>
    <s v="pass"/>
  </r>
  <r>
    <x v="1"/>
    <s v="group C"/>
    <x v="1"/>
    <x v="0"/>
    <x v="0"/>
    <n v="61"/>
    <n v="61"/>
    <n v="62"/>
    <n v="184"/>
    <n v="61.333333333333336"/>
    <s v="pass"/>
  </r>
  <r>
    <x v="1"/>
    <s v="group A"/>
    <x v="1"/>
    <x v="1"/>
    <x v="0"/>
    <n v="28"/>
    <n v="23"/>
    <n v="19"/>
    <n v="70"/>
    <n v="23.333333333333332"/>
    <s v="fail"/>
  </r>
  <r>
    <x v="1"/>
    <s v="group C"/>
    <x v="3"/>
    <x v="0"/>
    <x v="1"/>
    <n v="82"/>
    <n v="75"/>
    <n v="77"/>
    <n v="234"/>
    <n v="78"/>
    <s v="pass"/>
  </r>
  <r>
    <x v="0"/>
    <s v="group B"/>
    <x v="5"/>
    <x v="0"/>
    <x v="0"/>
    <n v="41"/>
    <n v="55"/>
    <n v="51"/>
    <n v="147"/>
    <n v="49"/>
    <s v="pass"/>
  </r>
  <r>
    <x v="1"/>
    <s v="group C"/>
    <x v="4"/>
    <x v="0"/>
    <x v="0"/>
    <n v="71"/>
    <n v="60"/>
    <n v="61"/>
    <n v="192"/>
    <n v="64"/>
    <s v="pass"/>
  </r>
  <r>
    <x v="1"/>
    <s v="group C"/>
    <x v="3"/>
    <x v="0"/>
    <x v="0"/>
    <n v="47"/>
    <n v="37"/>
    <n v="35"/>
    <n v="119"/>
    <n v="39.666666666666664"/>
    <s v="fail"/>
  </r>
  <r>
    <x v="1"/>
    <s v="group E"/>
    <x v="3"/>
    <x v="0"/>
    <x v="1"/>
    <n v="62"/>
    <n v="56"/>
    <n v="53"/>
    <n v="171"/>
    <n v="57"/>
    <s v="pass"/>
  </r>
  <r>
    <x v="1"/>
    <s v="group B"/>
    <x v="3"/>
    <x v="0"/>
    <x v="0"/>
    <n v="90"/>
    <n v="78"/>
    <n v="81"/>
    <n v="249"/>
    <n v="83"/>
    <s v="pass"/>
  </r>
  <r>
    <x v="0"/>
    <s v="group C"/>
    <x v="0"/>
    <x v="0"/>
    <x v="0"/>
    <n v="83"/>
    <n v="93"/>
    <n v="95"/>
    <n v="271"/>
    <n v="90.333333333333329"/>
    <s v="pass"/>
  </r>
  <r>
    <x v="0"/>
    <s v="group B"/>
    <x v="1"/>
    <x v="1"/>
    <x v="0"/>
    <n v="61"/>
    <n v="68"/>
    <n v="66"/>
    <n v="195"/>
    <n v="65"/>
    <s v="pass"/>
  </r>
  <r>
    <x v="1"/>
    <s v="group D"/>
    <x v="5"/>
    <x v="0"/>
    <x v="1"/>
    <n v="76"/>
    <n v="70"/>
    <n v="69"/>
    <n v="215"/>
    <n v="71.666666666666671"/>
    <s v="pass"/>
  </r>
  <r>
    <x v="1"/>
    <s v="group C"/>
    <x v="3"/>
    <x v="0"/>
    <x v="0"/>
    <n v="49"/>
    <n v="51"/>
    <n v="43"/>
    <n v="143"/>
    <n v="47.666666666666664"/>
    <s v="pass"/>
  </r>
  <r>
    <x v="0"/>
    <s v="group B"/>
    <x v="5"/>
    <x v="1"/>
    <x v="0"/>
    <n v="24"/>
    <n v="38"/>
    <n v="27"/>
    <n v="89"/>
    <n v="29.666666666666668"/>
    <s v="fail"/>
  </r>
  <r>
    <x v="0"/>
    <s v="group D"/>
    <x v="5"/>
    <x v="1"/>
    <x v="1"/>
    <n v="35"/>
    <n v="55"/>
    <n v="60"/>
    <n v="150"/>
    <n v="50"/>
    <s v="pass"/>
  </r>
  <r>
    <x v="1"/>
    <s v="group C"/>
    <x v="4"/>
    <x v="1"/>
    <x v="0"/>
    <n v="58"/>
    <n v="61"/>
    <n v="52"/>
    <n v="171"/>
    <n v="57"/>
    <s v="pass"/>
  </r>
  <r>
    <x v="0"/>
    <s v="group C"/>
    <x v="4"/>
    <x v="0"/>
    <x v="0"/>
    <n v="61"/>
    <n v="73"/>
    <n v="63"/>
    <n v="197"/>
    <n v="65.666666666666671"/>
    <s v="pass"/>
  </r>
  <r>
    <x v="0"/>
    <s v="group B"/>
    <x v="4"/>
    <x v="0"/>
    <x v="1"/>
    <n v="69"/>
    <n v="76"/>
    <n v="74"/>
    <n v="219"/>
    <n v="73"/>
    <s v="pass"/>
  </r>
  <r>
    <x v="1"/>
    <s v="group D"/>
    <x v="3"/>
    <x v="0"/>
    <x v="1"/>
    <n v="67"/>
    <n v="72"/>
    <n v="67"/>
    <n v="206"/>
    <n v="68.666666666666671"/>
    <s v="pass"/>
  </r>
  <r>
    <x v="1"/>
    <s v="group D"/>
    <x v="1"/>
    <x v="0"/>
    <x v="0"/>
    <n v="79"/>
    <n v="73"/>
    <n v="67"/>
    <n v="219"/>
    <n v="73"/>
    <s v="pass"/>
  </r>
  <r>
    <x v="0"/>
    <s v="group C"/>
    <x v="4"/>
    <x v="0"/>
    <x v="0"/>
    <n v="72"/>
    <n v="80"/>
    <n v="75"/>
    <n v="227"/>
    <n v="75.666666666666671"/>
    <s v="pass"/>
  </r>
  <r>
    <x v="1"/>
    <s v="group B"/>
    <x v="1"/>
    <x v="0"/>
    <x v="0"/>
    <n v="62"/>
    <n v="61"/>
    <n v="57"/>
    <n v="180"/>
    <n v="60"/>
    <s v="pass"/>
  </r>
  <r>
    <x v="0"/>
    <s v="group C"/>
    <x v="0"/>
    <x v="0"/>
    <x v="1"/>
    <n v="77"/>
    <n v="94"/>
    <n v="95"/>
    <n v="266"/>
    <n v="88.666666666666671"/>
    <s v="pass"/>
  </r>
  <r>
    <x v="1"/>
    <s v="group D"/>
    <x v="4"/>
    <x v="1"/>
    <x v="0"/>
    <n v="75"/>
    <n v="74"/>
    <n v="66"/>
    <n v="215"/>
    <n v="71.666666666666671"/>
    <s v="pass"/>
  </r>
  <r>
    <x v="1"/>
    <s v="group E"/>
    <x v="3"/>
    <x v="0"/>
    <x v="0"/>
    <n v="87"/>
    <n v="74"/>
    <n v="76"/>
    <n v="237"/>
    <n v="79"/>
    <s v="pass"/>
  </r>
  <r>
    <x v="0"/>
    <s v="group B"/>
    <x v="0"/>
    <x v="0"/>
    <x v="0"/>
    <n v="52"/>
    <n v="65"/>
    <n v="69"/>
    <n v="186"/>
    <n v="62"/>
    <s v="pass"/>
  </r>
  <r>
    <x v="1"/>
    <s v="group E"/>
    <x v="1"/>
    <x v="0"/>
    <x v="0"/>
    <n v="66"/>
    <n v="57"/>
    <n v="52"/>
    <n v="175"/>
    <n v="58.333333333333336"/>
    <s v="pass"/>
  </r>
  <r>
    <x v="0"/>
    <s v="group C"/>
    <x v="1"/>
    <x v="0"/>
    <x v="1"/>
    <n v="63"/>
    <n v="78"/>
    <n v="80"/>
    <n v="221"/>
    <n v="73.666666666666671"/>
    <s v="pass"/>
  </r>
  <r>
    <x v="0"/>
    <s v="group C"/>
    <x v="3"/>
    <x v="0"/>
    <x v="0"/>
    <n v="46"/>
    <n v="58"/>
    <n v="57"/>
    <n v="161"/>
    <n v="53.666666666666664"/>
    <s v="pass"/>
  </r>
  <r>
    <x v="0"/>
    <s v="group C"/>
    <x v="1"/>
    <x v="0"/>
    <x v="0"/>
    <n v="59"/>
    <n v="71"/>
    <n v="70"/>
    <n v="200"/>
    <n v="66.666666666666671"/>
    <s v="pass"/>
  </r>
  <r>
    <x v="0"/>
    <s v="group B"/>
    <x v="0"/>
    <x v="0"/>
    <x v="0"/>
    <n v="61"/>
    <n v="72"/>
    <n v="70"/>
    <n v="203"/>
    <n v="67.666666666666671"/>
    <s v="pass"/>
  </r>
  <r>
    <x v="1"/>
    <s v="group A"/>
    <x v="3"/>
    <x v="0"/>
    <x v="0"/>
    <n v="63"/>
    <n v="61"/>
    <n v="61"/>
    <n v="185"/>
    <n v="61.666666666666664"/>
    <s v="pass"/>
  </r>
  <r>
    <x v="0"/>
    <s v="group C"/>
    <x v="1"/>
    <x v="1"/>
    <x v="1"/>
    <n v="42"/>
    <n v="66"/>
    <n v="69"/>
    <n v="177"/>
    <n v="59"/>
    <s v="pass"/>
  </r>
  <r>
    <x v="1"/>
    <s v="group D"/>
    <x v="1"/>
    <x v="1"/>
    <x v="0"/>
    <n v="59"/>
    <n v="62"/>
    <n v="61"/>
    <n v="182"/>
    <n v="60.666666666666664"/>
    <s v="pass"/>
  </r>
  <r>
    <x v="0"/>
    <s v="group D"/>
    <x v="1"/>
    <x v="0"/>
    <x v="0"/>
    <n v="80"/>
    <n v="90"/>
    <n v="89"/>
    <n v="259"/>
    <n v="86.333333333333329"/>
    <s v="pass"/>
  </r>
  <r>
    <x v="0"/>
    <s v="group B"/>
    <x v="4"/>
    <x v="0"/>
    <x v="0"/>
    <n v="58"/>
    <n v="62"/>
    <n v="59"/>
    <n v="179"/>
    <n v="59.666666666666664"/>
    <s v="pass"/>
  </r>
  <r>
    <x v="1"/>
    <s v="group B"/>
    <x v="5"/>
    <x v="0"/>
    <x v="1"/>
    <n v="85"/>
    <n v="84"/>
    <n v="78"/>
    <n v="247"/>
    <n v="82.333333333333329"/>
    <s v="pass"/>
  </r>
  <r>
    <x v="0"/>
    <s v="group C"/>
    <x v="1"/>
    <x v="0"/>
    <x v="0"/>
    <n v="52"/>
    <n v="58"/>
    <n v="58"/>
    <n v="168"/>
    <n v="56"/>
    <s v="pass"/>
  </r>
  <r>
    <x v="0"/>
    <s v="group D"/>
    <x v="5"/>
    <x v="1"/>
    <x v="0"/>
    <n v="27"/>
    <n v="34"/>
    <n v="32"/>
    <n v="93"/>
    <n v="31"/>
    <s v="fail"/>
  </r>
  <r>
    <x v="1"/>
    <s v="group C"/>
    <x v="1"/>
    <x v="0"/>
    <x v="0"/>
    <n v="59"/>
    <n v="60"/>
    <n v="58"/>
    <n v="177"/>
    <n v="59"/>
    <s v="pass"/>
  </r>
  <r>
    <x v="1"/>
    <s v="group A"/>
    <x v="0"/>
    <x v="1"/>
    <x v="1"/>
    <n v="49"/>
    <n v="58"/>
    <n v="60"/>
    <n v="167"/>
    <n v="55.666666666666664"/>
    <s v="pass"/>
  </r>
  <r>
    <x v="1"/>
    <s v="group C"/>
    <x v="4"/>
    <x v="0"/>
    <x v="1"/>
    <n v="69"/>
    <n v="58"/>
    <n v="53"/>
    <n v="180"/>
    <n v="60"/>
    <s v="pass"/>
  </r>
  <r>
    <x v="1"/>
    <s v="group C"/>
    <x v="0"/>
    <x v="1"/>
    <x v="0"/>
    <n v="61"/>
    <n v="66"/>
    <n v="61"/>
    <n v="188"/>
    <n v="62.666666666666664"/>
    <s v="pass"/>
  </r>
  <r>
    <x v="0"/>
    <s v="group A"/>
    <x v="5"/>
    <x v="1"/>
    <x v="0"/>
    <n v="44"/>
    <n v="64"/>
    <n v="58"/>
    <n v="166"/>
    <n v="55.333333333333336"/>
    <s v="pass"/>
  </r>
  <r>
    <x v="0"/>
    <s v="group D"/>
    <x v="5"/>
    <x v="0"/>
    <x v="0"/>
    <n v="73"/>
    <n v="84"/>
    <n v="85"/>
    <n v="242"/>
    <n v="80.666666666666671"/>
    <s v="pass"/>
  </r>
  <r>
    <x v="1"/>
    <s v="group E"/>
    <x v="1"/>
    <x v="0"/>
    <x v="0"/>
    <n v="84"/>
    <n v="77"/>
    <n v="71"/>
    <n v="232"/>
    <n v="77.333333333333329"/>
    <s v="pass"/>
  </r>
  <r>
    <x v="0"/>
    <s v="group C"/>
    <x v="1"/>
    <x v="1"/>
    <x v="1"/>
    <n v="45"/>
    <n v="73"/>
    <n v="70"/>
    <n v="188"/>
    <n v="62.666666666666664"/>
    <s v="pass"/>
  </r>
  <r>
    <x v="1"/>
    <s v="group D"/>
    <x v="5"/>
    <x v="0"/>
    <x v="0"/>
    <n v="74"/>
    <n v="74"/>
    <n v="72"/>
    <n v="220"/>
    <n v="73.333333333333329"/>
    <s v="pass"/>
  </r>
  <r>
    <x v="0"/>
    <s v="group D"/>
    <x v="1"/>
    <x v="0"/>
    <x v="1"/>
    <n v="82"/>
    <n v="97"/>
    <n v="96"/>
    <n v="275"/>
    <n v="91.666666666666671"/>
    <s v="pass"/>
  </r>
  <r>
    <x v="0"/>
    <s v="group D"/>
    <x v="0"/>
    <x v="0"/>
    <x v="0"/>
    <n v="59"/>
    <n v="70"/>
    <n v="73"/>
    <n v="202"/>
    <n v="67.333333333333329"/>
    <s v="pass"/>
  </r>
  <r>
    <x v="1"/>
    <s v="group E"/>
    <x v="3"/>
    <x v="1"/>
    <x v="0"/>
    <n v="46"/>
    <n v="43"/>
    <n v="41"/>
    <n v="130"/>
    <n v="43.333333333333336"/>
    <s v="pass"/>
  </r>
  <r>
    <x v="0"/>
    <s v="group D"/>
    <x v="5"/>
    <x v="0"/>
    <x v="0"/>
    <n v="80"/>
    <n v="90"/>
    <n v="82"/>
    <n v="252"/>
    <n v="84"/>
    <s v="pass"/>
  </r>
  <r>
    <x v="0"/>
    <s v="group D"/>
    <x v="2"/>
    <x v="1"/>
    <x v="1"/>
    <n v="85"/>
    <n v="95"/>
    <n v="100"/>
    <n v="280"/>
    <n v="93.333333333333329"/>
    <s v="pass"/>
  </r>
  <r>
    <x v="0"/>
    <s v="group A"/>
    <x v="5"/>
    <x v="0"/>
    <x v="0"/>
    <n v="71"/>
    <n v="83"/>
    <n v="77"/>
    <n v="231"/>
    <n v="77"/>
    <s v="pass"/>
  </r>
  <r>
    <x v="1"/>
    <s v="group A"/>
    <x v="0"/>
    <x v="0"/>
    <x v="0"/>
    <n v="66"/>
    <n v="64"/>
    <n v="62"/>
    <n v="192"/>
    <n v="64"/>
    <s v="pass"/>
  </r>
  <r>
    <x v="0"/>
    <s v="group B"/>
    <x v="3"/>
    <x v="0"/>
    <x v="0"/>
    <n v="80"/>
    <n v="86"/>
    <n v="83"/>
    <n v="249"/>
    <n v="83"/>
    <s v="pass"/>
  </r>
  <r>
    <x v="1"/>
    <s v="group C"/>
    <x v="3"/>
    <x v="0"/>
    <x v="1"/>
    <n v="87"/>
    <n v="100"/>
    <n v="95"/>
    <n v="282"/>
    <n v="94"/>
    <s v="pass"/>
  </r>
  <r>
    <x v="1"/>
    <s v="group C"/>
    <x v="2"/>
    <x v="1"/>
    <x v="0"/>
    <n v="79"/>
    <n v="81"/>
    <n v="71"/>
    <n v="231"/>
    <n v="77"/>
    <s v="pass"/>
  </r>
  <r>
    <x v="0"/>
    <s v="group E"/>
    <x v="5"/>
    <x v="1"/>
    <x v="0"/>
    <n v="38"/>
    <n v="49"/>
    <n v="45"/>
    <n v="132"/>
    <n v="44"/>
    <s v="pass"/>
  </r>
  <r>
    <x v="0"/>
    <s v="group A"/>
    <x v="5"/>
    <x v="1"/>
    <x v="0"/>
    <n v="38"/>
    <n v="43"/>
    <n v="43"/>
    <n v="124"/>
    <n v="41.333333333333336"/>
    <s v="pass"/>
  </r>
  <r>
    <x v="0"/>
    <s v="group E"/>
    <x v="1"/>
    <x v="0"/>
    <x v="0"/>
    <n v="67"/>
    <n v="76"/>
    <n v="75"/>
    <n v="218"/>
    <n v="72.666666666666671"/>
    <s v="pass"/>
  </r>
  <r>
    <x v="0"/>
    <s v="group E"/>
    <x v="0"/>
    <x v="0"/>
    <x v="0"/>
    <n v="64"/>
    <n v="73"/>
    <n v="70"/>
    <n v="207"/>
    <n v="69"/>
    <s v="pass"/>
  </r>
  <r>
    <x v="0"/>
    <s v="group C"/>
    <x v="3"/>
    <x v="1"/>
    <x v="0"/>
    <n v="57"/>
    <n v="78"/>
    <n v="67"/>
    <n v="202"/>
    <n v="67.333333333333329"/>
    <s v="pass"/>
  </r>
  <r>
    <x v="0"/>
    <s v="group D"/>
    <x v="4"/>
    <x v="0"/>
    <x v="0"/>
    <n v="62"/>
    <n v="64"/>
    <n v="64"/>
    <n v="190"/>
    <n v="63.333333333333336"/>
    <s v="pass"/>
  </r>
  <r>
    <x v="1"/>
    <s v="group D"/>
    <x v="2"/>
    <x v="0"/>
    <x v="0"/>
    <n v="73"/>
    <n v="70"/>
    <n v="75"/>
    <n v="218"/>
    <n v="72.666666666666671"/>
    <s v="pass"/>
  </r>
  <r>
    <x v="1"/>
    <s v="group E"/>
    <x v="5"/>
    <x v="1"/>
    <x v="1"/>
    <n v="73"/>
    <n v="67"/>
    <n v="59"/>
    <n v="199"/>
    <n v="66.333333333333329"/>
    <s v="pass"/>
  </r>
  <r>
    <x v="0"/>
    <s v="group D"/>
    <x v="1"/>
    <x v="0"/>
    <x v="0"/>
    <n v="77"/>
    <n v="68"/>
    <n v="77"/>
    <n v="222"/>
    <n v="74"/>
    <s v="pass"/>
  </r>
  <r>
    <x v="1"/>
    <s v="group E"/>
    <x v="1"/>
    <x v="0"/>
    <x v="0"/>
    <n v="76"/>
    <n v="67"/>
    <n v="67"/>
    <n v="210"/>
    <n v="70"/>
    <s v="pass"/>
  </r>
  <r>
    <x v="1"/>
    <s v="group C"/>
    <x v="3"/>
    <x v="0"/>
    <x v="1"/>
    <n v="57"/>
    <n v="54"/>
    <n v="56"/>
    <n v="167"/>
    <n v="55.666666666666664"/>
    <s v="pass"/>
  </r>
  <r>
    <x v="0"/>
    <s v="group C"/>
    <x v="5"/>
    <x v="0"/>
    <x v="1"/>
    <n v="65"/>
    <n v="74"/>
    <n v="77"/>
    <n v="216"/>
    <n v="72"/>
    <s v="pass"/>
  </r>
  <r>
    <x v="1"/>
    <s v="group A"/>
    <x v="4"/>
    <x v="1"/>
    <x v="0"/>
    <n v="48"/>
    <n v="45"/>
    <n v="41"/>
    <n v="134"/>
    <n v="44.666666666666664"/>
    <s v="pass"/>
  </r>
  <r>
    <x v="0"/>
    <s v="group B"/>
    <x v="4"/>
    <x v="1"/>
    <x v="0"/>
    <n v="50"/>
    <n v="67"/>
    <n v="63"/>
    <n v="180"/>
    <n v="60"/>
    <s v="pass"/>
  </r>
  <r>
    <x v="0"/>
    <s v="group C"/>
    <x v="3"/>
    <x v="0"/>
    <x v="0"/>
    <n v="85"/>
    <n v="89"/>
    <n v="95"/>
    <n v="269"/>
    <n v="89.666666666666671"/>
    <s v="pass"/>
  </r>
  <r>
    <x v="1"/>
    <s v="group B"/>
    <x v="5"/>
    <x v="0"/>
    <x v="0"/>
    <n v="74"/>
    <n v="63"/>
    <n v="57"/>
    <n v="194"/>
    <n v="64.666666666666671"/>
    <s v="pass"/>
  </r>
  <r>
    <x v="1"/>
    <s v="group D"/>
    <x v="5"/>
    <x v="0"/>
    <x v="0"/>
    <n v="60"/>
    <n v="59"/>
    <n v="54"/>
    <n v="173"/>
    <n v="57.666666666666664"/>
    <s v="pass"/>
  </r>
  <r>
    <x v="0"/>
    <s v="group C"/>
    <x v="5"/>
    <x v="0"/>
    <x v="1"/>
    <n v="59"/>
    <n v="54"/>
    <n v="67"/>
    <n v="180"/>
    <n v="60"/>
    <s v="pass"/>
  </r>
  <r>
    <x v="1"/>
    <s v="group A"/>
    <x v="1"/>
    <x v="0"/>
    <x v="0"/>
    <n v="53"/>
    <n v="43"/>
    <n v="43"/>
    <n v="139"/>
    <n v="46.333333333333336"/>
    <s v="pass"/>
  </r>
  <r>
    <x v="0"/>
    <s v="group A"/>
    <x v="1"/>
    <x v="1"/>
    <x v="0"/>
    <n v="49"/>
    <n v="65"/>
    <n v="55"/>
    <n v="169"/>
    <n v="56.333333333333336"/>
    <s v="pass"/>
  </r>
  <r>
    <x v="0"/>
    <s v="group D"/>
    <x v="4"/>
    <x v="0"/>
    <x v="1"/>
    <n v="88"/>
    <n v="99"/>
    <n v="100"/>
    <n v="287"/>
    <n v="95.666666666666671"/>
    <s v="pass"/>
  </r>
  <r>
    <x v="0"/>
    <s v="group C"/>
    <x v="4"/>
    <x v="0"/>
    <x v="0"/>
    <n v="54"/>
    <n v="59"/>
    <n v="62"/>
    <n v="175"/>
    <n v="58.333333333333336"/>
    <s v="pass"/>
  </r>
  <r>
    <x v="0"/>
    <s v="group C"/>
    <x v="5"/>
    <x v="0"/>
    <x v="0"/>
    <n v="63"/>
    <n v="73"/>
    <n v="68"/>
    <n v="204"/>
    <n v="68"/>
    <s v="pass"/>
  </r>
  <r>
    <x v="1"/>
    <s v="group B"/>
    <x v="3"/>
    <x v="0"/>
    <x v="1"/>
    <n v="65"/>
    <n v="65"/>
    <n v="63"/>
    <n v="193"/>
    <n v="64.333333333333329"/>
    <s v="pass"/>
  </r>
  <r>
    <x v="0"/>
    <s v="group B"/>
    <x v="3"/>
    <x v="0"/>
    <x v="0"/>
    <n v="82"/>
    <n v="80"/>
    <n v="77"/>
    <n v="239"/>
    <n v="79.666666666666671"/>
    <s v="pass"/>
  </r>
  <r>
    <x v="0"/>
    <s v="group D"/>
    <x v="4"/>
    <x v="1"/>
    <x v="1"/>
    <n v="52"/>
    <n v="57"/>
    <n v="56"/>
    <n v="165"/>
    <n v="55"/>
    <s v="pass"/>
  </r>
  <r>
    <x v="1"/>
    <s v="group D"/>
    <x v="3"/>
    <x v="0"/>
    <x v="1"/>
    <n v="87"/>
    <n v="84"/>
    <n v="85"/>
    <n v="256"/>
    <n v="85.333333333333329"/>
    <s v="pass"/>
  </r>
  <r>
    <x v="0"/>
    <s v="group D"/>
    <x v="2"/>
    <x v="0"/>
    <x v="1"/>
    <n v="70"/>
    <n v="71"/>
    <n v="74"/>
    <n v="215"/>
    <n v="71.666666666666671"/>
    <s v="pass"/>
  </r>
  <r>
    <x v="1"/>
    <s v="group E"/>
    <x v="1"/>
    <x v="0"/>
    <x v="1"/>
    <n v="84"/>
    <n v="83"/>
    <n v="78"/>
    <n v="245"/>
    <n v="81.666666666666671"/>
    <s v="pass"/>
  </r>
  <r>
    <x v="1"/>
    <s v="group D"/>
    <x v="3"/>
    <x v="0"/>
    <x v="0"/>
    <n v="71"/>
    <n v="66"/>
    <n v="60"/>
    <n v="197"/>
    <n v="65.666666666666671"/>
    <s v="pass"/>
  </r>
  <r>
    <x v="1"/>
    <s v="group B"/>
    <x v="5"/>
    <x v="0"/>
    <x v="1"/>
    <n v="63"/>
    <n v="67"/>
    <n v="67"/>
    <n v="197"/>
    <n v="65.666666666666671"/>
    <s v="pass"/>
  </r>
  <r>
    <x v="0"/>
    <s v="group C"/>
    <x v="0"/>
    <x v="1"/>
    <x v="1"/>
    <n v="51"/>
    <n v="72"/>
    <n v="79"/>
    <n v="202"/>
    <n v="67.333333333333329"/>
    <s v="pass"/>
  </r>
  <r>
    <x v="1"/>
    <s v="group E"/>
    <x v="4"/>
    <x v="0"/>
    <x v="0"/>
    <n v="84"/>
    <n v="73"/>
    <n v="69"/>
    <n v="226"/>
    <n v="75.333333333333329"/>
    <s v="pass"/>
  </r>
  <r>
    <x v="1"/>
    <s v="group C"/>
    <x v="0"/>
    <x v="0"/>
    <x v="1"/>
    <n v="71"/>
    <n v="74"/>
    <n v="68"/>
    <n v="213"/>
    <n v="71"/>
    <s v="pass"/>
  </r>
  <r>
    <x v="1"/>
    <s v="group C"/>
    <x v="3"/>
    <x v="0"/>
    <x v="0"/>
    <n v="74"/>
    <n v="73"/>
    <n v="67"/>
    <n v="214"/>
    <n v="71.333333333333329"/>
    <s v="pass"/>
  </r>
  <r>
    <x v="1"/>
    <s v="group D"/>
    <x v="1"/>
    <x v="0"/>
    <x v="0"/>
    <n v="68"/>
    <n v="59"/>
    <n v="62"/>
    <n v="189"/>
    <n v="63"/>
    <s v="pass"/>
  </r>
  <r>
    <x v="1"/>
    <s v="group E"/>
    <x v="4"/>
    <x v="1"/>
    <x v="1"/>
    <n v="57"/>
    <n v="56"/>
    <n v="54"/>
    <n v="167"/>
    <n v="55.666666666666664"/>
    <s v="pass"/>
  </r>
  <r>
    <x v="0"/>
    <s v="group C"/>
    <x v="3"/>
    <x v="1"/>
    <x v="1"/>
    <n v="82"/>
    <n v="93"/>
    <n v="93"/>
    <n v="268"/>
    <n v="89.333333333333329"/>
    <s v="pass"/>
  </r>
  <r>
    <x v="0"/>
    <s v="group D"/>
    <x v="4"/>
    <x v="0"/>
    <x v="1"/>
    <n v="57"/>
    <n v="58"/>
    <n v="64"/>
    <n v="179"/>
    <n v="59.666666666666664"/>
    <s v="pass"/>
  </r>
  <r>
    <x v="0"/>
    <s v="group D"/>
    <x v="2"/>
    <x v="1"/>
    <x v="1"/>
    <n v="47"/>
    <n v="58"/>
    <n v="67"/>
    <n v="172"/>
    <n v="57.333333333333336"/>
    <s v="pass"/>
  </r>
  <r>
    <x v="0"/>
    <s v="group A"/>
    <x v="5"/>
    <x v="0"/>
    <x v="1"/>
    <n v="59"/>
    <n v="85"/>
    <n v="80"/>
    <n v="224"/>
    <n v="74.666666666666671"/>
    <s v="pass"/>
  </r>
  <r>
    <x v="1"/>
    <s v="group B"/>
    <x v="1"/>
    <x v="1"/>
    <x v="0"/>
    <n v="41"/>
    <n v="39"/>
    <n v="34"/>
    <n v="114"/>
    <n v="38"/>
    <s v="fail"/>
  </r>
  <r>
    <x v="0"/>
    <s v="group C"/>
    <x v="1"/>
    <x v="1"/>
    <x v="0"/>
    <n v="62"/>
    <n v="67"/>
    <n v="62"/>
    <n v="191"/>
    <n v="63.666666666666664"/>
    <s v="pass"/>
  </r>
  <r>
    <x v="1"/>
    <s v="group C"/>
    <x v="0"/>
    <x v="0"/>
    <x v="0"/>
    <n v="86"/>
    <n v="83"/>
    <n v="86"/>
    <n v="255"/>
    <n v="85"/>
    <s v="pass"/>
  </r>
  <r>
    <x v="1"/>
    <s v="group C"/>
    <x v="5"/>
    <x v="1"/>
    <x v="0"/>
    <n v="69"/>
    <n v="71"/>
    <n v="65"/>
    <n v="205"/>
    <n v="68.333333333333329"/>
    <s v="pass"/>
  </r>
  <r>
    <x v="1"/>
    <s v="group A"/>
    <x v="5"/>
    <x v="1"/>
    <x v="0"/>
    <n v="65"/>
    <n v="59"/>
    <n v="53"/>
    <n v="177"/>
    <n v="59"/>
    <s v="pass"/>
  </r>
  <r>
    <x v="1"/>
    <s v="group C"/>
    <x v="5"/>
    <x v="1"/>
    <x v="0"/>
    <n v="68"/>
    <n v="63"/>
    <n v="54"/>
    <n v="185"/>
    <n v="61.666666666666664"/>
    <s v="pass"/>
  </r>
  <r>
    <x v="1"/>
    <s v="group C"/>
    <x v="3"/>
    <x v="1"/>
    <x v="0"/>
    <n v="64"/>
    <n v="66"/>
    <n v="59"/>
    <n v="189"/>
    <n v="63"/>
    <s v="pass"/>
  </r>
  <r>
    <x v="0"/>
    <s v="group C"/>
    <x v="4"/>
    <x v="0"/>
    <x v="0"/>
    <n v="61"/>
    <n v="72"/>
    <n v="70"/>
    <n v="203"/>
    <n v="67.666666666666671"/>
    <s v="pass"/>
  </r>
  <r>
    <x v="1"/>
    <s v="group C"/>
    <x v="4"/>
    <x v="0"/>
    <x v="0"/>
    <n v="61"/>
    <n v="56"/>
    <n v="55"/>
    <n v="172"/>
    <n v="57.333333333333336"/>
    <s v="pass"/>
  </r>
  <r>
    <x v="0"/>
    <s v="group A"/>
    <x v="5"/>
    <x v="1"/>
    <x v="0"/>
    <n v="47"/>
    <n v="59"/>
    <n v="50"/>
    <n v="156"/>
    <n v="52"/>
    <s v="pass"/>
  </r>
  <r>
    <x v="1"/>
    <s v="group C"/>
    <x v="5"/>
    <x v="0"/>
    <x v="0"/>
    <n v="73"/>
    <n v="66"/>
    <n v="66"/>
    <n v="205"/>
    <n v="68.333333333333329"/>
    <s v="pass"/>
  </r>
  <r>
    <x v="1"/>
    <s v="group C"/>
    <x v="1"/>
    <x v="1"/>
    <x v="1"/>
    <n v="50"/>
    <n v="48"/>
    <n v="53"/>
    <n v="151"/>
    <n v="50.333333333333336"/>
    <s v="pass"/>
  </r>
  <r>
    <x v="1"/>
    <s v="group D"/>
    <x v="3"/>
    <x v="0"/>
    <x v="0"/>
    <n v="75"/>
    <n v="68"/>
    <n v="64"/>
    <n v="207"/>
    <n v="69"/>
    <s v="pass"/>
  </r>
  <r>
    <x v="1"/>
    <s v="group D"/>
    <x v="3"/>
    <x v="1"/>
    <x v="0"/>
    <n v="75"/>
    <n v="66"/>
    <n v="73"/>
    <n v="214"/>
    <n v="71.333333333333329"/>
    <s v="pass"/>
  </r>
  <r>
    <x v="1"/>
    <s v="group C"/>
    <x v="4"/>
    <x v="0"/>
    <x v="0"/>
    <n v="70"/>
    <n v="56"/>
    <n v="51"/>
    <n v="177"/>
    <n v="59"/>
    <s v="pass"/>
  </r>
  <r>
    <x v="1"/>
    <s v="group D"/>
    <x v="5"/>
    <x v="0"/>
    <x v="1"/>
    <n v="89"/>
    <n v="88"/>
    <n v="82"/>
    <n v="259"/>
    <n v="86.333333333333329"/>
    <s v="pass"/>
  </r>
  <r>
    <x v="0"/>
    <s v="group C"/>
    <x v="1"/>
    <x v="0"/>
    <x v="1"/>
    <n v="67"/>
    <n v="81"/>
    <n v="79"/>
    <n v="227"/>
    <n v="75.666666666666671"/>
    <s v="pass"/>
  </r>
  <r>
    <x v="0"/>
    <s v="group D"/>
    <x v="4"/>
    <x v="0"/>
    <x v="0"/>
    <n v="78"/>
    <n v="81"/>
    <n v="80"/>
    <n v="239"/>
    <n v="79.666666666666671"/>
    <s v="pass"/>
  </r>
  <r>
    <x v="0"/>
    <s v="group A"/>
    <x v="5"/>
    <x v="1"/>
    <x v="0"/>
    <n v="59"/>
    <n v="73"/>
    <n v="69"/>
    <n v="201"/>
    <n v="67"/>
    <s v="pass"/>
  </r>
  <r>
    <x v="0"/>
    <s v="group B"/>
    <x v="3"/>
    <x v="0"/>
    <x v="0"/>
    <n v="73"/>
    <n v="83"/>
    <n v="76"/>
    <n v="232"/>
    <n v="77.333333333333329"/>
    <s v="pass"/>
  </r>
  <r>
    <x v="1"/>
    <s v="group A"/>
    <x v="5"/>
    <x v="1"/>
    <x v="0"/>
    <n v="79"/>
    <n v="82"/>
    <n v="73"/>
    <n v="234"/>
    <n v="78"/>
    <s v="pass"/>
  </r>
  <r>
    <x v="0"/>
    <s v="group C"/>
    <x v="5"/>
    <x v="0"/>
    <x v="1"/>
    <n v="67"/>
    <n v="74"/>
    <n v="77"/>
    <n v="218"/>
    <n v="72.666666666666671"/>
    <s v="pass"/>
  </r>
  <r>
    <x v="1"/>
    <s v="group D"/>
    <x v="1"/>
    <x v="1"/>
    <x v="0"/>
    <n v="69"/>
    <n v="66"/>
    <n v="60"/>
    <n v="195"/>
    <n v="65"/>
    <s v="pass"/>
  </r>
  <r>
    <x v="1"/>
    <s v="group C"/>
    <x v="4"/>
    <x v="0"/>
    <x v="1"/>
    <n v="86"/>
    <n v="81"/>
    <n v="80"/>
    <n v="247"/>
    <n v="82.333333333333329"/>
    <s v="pass"/>
  </r>
  <r>
    <x v="1"/>
    <s v="group B"/>
    <x v="4"/>
    <x v="0"/>
    <x v="0"/>
    <n v="47"/>
    <n v="46"/>
    <n v="42"/>
    <n v="135"/>
    <n v="45"/>
    <s v="pass"/>
  </r>
  <r>
    <x v="1"/>
    <s v="group B"/>
    <x v="3"/>
    <x v="0"/>
    <x v="0"/>
    <n v="81"/>
    <n v="73"/>
    <n v="72"/>
    <n v="226"/>
    <n v="75.333333333333329"/>
    <s v="pass"/>
  </r>
  <r>
    <x v="0"/>
    <s v="group C"/>
    <x v="1"/>
    <x v="1"/>
    <x v="1"/>
    <n v="64"/>
    <n v="85"/>
    <n v="85"/>
    <n v="234"/>
    <n v="78"/>
    <s v="pass"/>
  </r>
  <r>
    <x v="0"/>
    <s v="group E"/>
    <x v="1"/>
    <x v="0"/>
    <x v="0"/>
    <n v="100"/>
    <n v="92"/>
    <n v="97"/>
    <n v="289"/>
    <n v="96.333333333333329"/>
    <s v="pass"/>
  </r>
  <r>
    <x v="0"/>
    <s v="group C"/>
    <x v="3"/>
    <x v="1"/>
    <x v="0"/>
    <n v="65"/>
    <n v="77"/>
    <n v="74"/>
    <n v="216"/>
    <n v="72"/>
    <s v="pass"/>
  </r>
  <r>
    <x v="1"/>
    <s v="group C"/>
    <x v="1"/>
    <x v="1"/>
    <x v="0"/>
    <n v="65"/>
    <n v="58"/>
    <n v="49"/>
    <n v="172"/>
    <n v="57.333333333333336"/>
    <s v="pass"/>
  </r>
  <r>
    <x v="0"/>
    <s v="group C"/>
    <x v="3"/>
    <x v="1"/>
    <x v="0"/>
    <n v="53"/>
    <n v="61"/>
    <n v="62"/>
    <n v="176"/>
    <n v="58.666666666666664"/>
    <s v="pass"/>
  </r>
  <r>
    <x v="1"/>
    <s v="group C"/>
    <x v="0"/>
    <x v="1"/>
    <x v="0"/>
    <n v="37"/>
    <n v="56"/>
    <n v="47"/>
    <n v="140"/>
    <n v="46.666666666666664"/>
    <s v="pass"/>
  </r>
  <r>
    <x v="0"/>
    <s v="group D"/>
    <x v="0"/>
    <x v="0"/>
    <x v="0"/>
    <n v="79"/>
    <n v="89"/>
    <n v="89"/>
    <n v="257"/>
    <n v="85.666666666666671"/>
    <s v="pass"/>
  </r>
  <r>
    <x v="1"/>
    <s v="group D"/>
    <x v="3"/>
    <x v="1"/>
    <x v="0"/>
    <n v="53"/>
    <n v="54"/>
    <n v="48"/>
    <n v="155"/>
    <n v="51.666666666666664"/>
    <s v="pass"/>
  </r>
  <r>
    <x v="0"/>
    <s v="group E"/>
    <x v="0"/>
    <x v="0"/>
    <x v="0"/>
    <n v="100"/>
    <n v="100"/>
    <n v="100"/>
    <n v="300"/>
    <n v="100"/>
    <s v="pass"/>
  </r>
  <r>
    <x v="1"/>
    <s v="group B"/>
    <x v="4"/>
    <x v="0"/>
    <x v="1"/>
    <n v="72"/>
    <n v="65"/>
    <n v="68"/>
    <n v="205"/>
    <n v="68.333333333333329"/>
    <s v="pass"/>
  </r>
  <r>
    <x v="1"/>
    <s v="group C"/>
    <x v="0"/>
    <x v="1"/>
    <x v="0"/>
    <n v="53"/>
    <n v="58"/>
    <n v="55"/>
    <n v="166"/>
    <n v="55.333333333333336"/>
    <s v="pass"/>
  </r>
  <r>
    <x v="1"/>
    <s v="group B"/>
    <x v="1"/>
    <x v="1"/>
    <x v="0"/>
    <n v="54"/>
    <n v="54"/>
    <n v="45"/>
    <n v="153"/>
    <n v="51"/>
    <s v="pass"/>
  </r>
  <r>
    <x v="0"/>
    <s v="group E"/>
    <x v="1"/>
    <x v="0"/>
    <x v="0"/>
    <n v="71"/>
    <n v="70"/>
    <n v="76"/>
    <n v="217"/>
    <n v="72.333333333333329"/>
    <s v="pass"/>
  </r>
  <r>
    <x v="0"/>
    <s v="group C"/>
    <x v="1"/>
    <x v="1"/>
    <x v="0"/>
    <n v="77"/>
    <n v="90"/>
    <n v="91"/>
    <n v="258"/>
    <n v="86"/>
    <s v="pass"/>
  </r>
  <r>
    <x v="1"/>
    <s v="group A"/>
    <x v="0"/>
    <x v="0"/>
    <x v="1"/>
    <n v="75"/>
    <n v="58"/>
    <n v="62"/>
    <n v="195"/>
    <n v="65"/>
    <s v="pass"/>
  </r>
  <r>
    <x v="0"/>
    <s v="group C"/>
    <x v="1"/>
    <x v="0"/>
    <x v="0"/>
    <n v="84"/>
    <n v="87"/>
    <n v="91"/>
    <n v="262"/>
    <n v="87.333333333333329"/>
    <s v="pass"/>
  </r>
  <r>
    <x v="0"/>
    <s v="group D"/>
    <x v="3"/>
    <x v="1"/>
    <x v="0"/>
    <n v="26"/>
    <n v="31"/>
    <n v="38"/>
    <n v="95"/>
    <n v="31.666666666666668"/>
    <s v="fail"/>
  </r>
  <r>
    <x v="1"/>
    <s v="group A"/>
    <x v="4"/>
    <x v="1"/>
    <x v="1"/>
    <n v="72"/>
    <n v="67"/>
    <n v="65"/>
    <n v="204"/>
    <n v="68"/>
    <s v="pass"/>
  </r>
  <r>
    <x v="0"/>
    <s v="group A"/>
    <x v="4"/>
    <x v="1"/>
    <x v="1"/>
    <n v="77"/>
    <n v="88"/>
    <n v="85"/>
    <n v="250"/>
    <n v="83.333333333333329"/>
    <s v="pass"/>
  </r>
  <r>
    <x v="1"/>
    <s v="group C"/>
    <x v="1"/>
    <x v="0"/>
    <x v="0"/>
    <n v="91"/>
    <n v="74"/>
    <n v="76"/>
    <n v="241"/>
    <n v="80.333333333333329"/>
    <s v="pass"/>
  </r>
  <r>
    <x v="0"/>
    <s v="group C"/>
    <x v="3"/>
    <x v="0"/>
    <x v="1"/>
    <n v="83"/>
    <n v="85"/>
    <n v="90"/>
    <n v="258"/>
    <n v="86"/>
    <s v="pass"/>
  </r>
  <r>
    <x v="0"/>
    <s v="group C"/>
    <x v="4"/>
    <x v="0"/>
    <x v="0"/>
    <n v="63"/>
    <n v="69"/>
    <n v="74"/>
    <n v="206"/>
    <n v="68.666666666666671"/>
    <s v="pass"/>
  </r>
  <r>
    <x v="0"/>
    <s v="group C"/>
    <x v="3"/>
    <x v="0"/>
    <x v="1"/>
    <n v="68"/>
    <n v="86"/>
    <n v="84"/>
    <n v="238"/>
    <n v="79.333333333333329"/>
    <s v="pass"/>
  </r>
  <r>
    <x v="0"/>
    <s v="group D"/>
    <x v="5"/>
    <x v="0"/>
    <x v="0"/>
    <n v="59"/>
    <n v="67"/>
    <n v="61"/>
    <n v="187"/>
    <n v="62.333333333333336"/>
    <s v="pass"/>
  </r>
  <r>
    <x v="0"/>
    <s v="group B"/>
    <x v="3"/>
    <x v="0"/>
    <x v="1"/>
    <n v="90"/>
    <n v="90"/>
    <n v="91"/>
    <n v="271"/>
    <n v="90.333333333333329"/>
    <s v="pass"/>
  </r>
  <r>
    <x v="0"/>
    <s v="group D"/>
    <x v="0"/>
    <x v="0"/>
    <x v="1"/>
    <n v="71"/>
    <n v="76"/>
    <n v="83"/>
    <n v="230"/>
    <n v="76.666666666666671"/>
    <s v="pass"/>
  </r>
  <r>
    <x v="1"/>
    <s v="group E"/>
    <x v="0"/>
    <x v="0"/>
    <x v="1"/>
    <n v="76"/>
    <n v="62"/>
    <n v="66"/>
    <n v="204"/>
    <n v="68"/>
    <s v="pass"/>
  </r>
  <r>
    <x v="1"/>
    <s v="group D"/>
    <x v="3"/>
    <x v="0"/>
    <x v="0"/>
    <n v="80"/>
    <n v="68"/>
    <n v="72"/>
    <n v="220"/>
    <n v="73.333333333333329"/>
    <s v="pass"/>
  </r>
  <r>
    <x v="0"/>
    <s v="group D"/>
    <x v="2"/>
    <x v="0"/>
    <x v="0"/>
    <n v="55"/>
    <n v="64"/>
    <n v="70"/>
    <n v="189"/>
    <n v="63"/>
    <s v="pass"/>
  </r>
  <r>
    <x v="1"/>
    <s v="group E"/>
    <x v="3"/>
    <x v="0"/>
    <x v="0"/>
    <n v="76"/>
    <n v="71"/>
    <n v="67"/>
    <n v="214"/>
    <n v="71.333333333333329"/>
    <s v="pass"/>
  </r>
  <r>
    <x v="1"/>
    <s v="group B"/>
    <x v="4"/>
    <x v="0"/>
    <x v="1"/>
    <n v="73"/>
    <n v="71"/>
    <n v="68"/>
    <n v="212"/>
    <n v="70.666666666666671"/>
    <s v="pass"/>
  </r>
  <r>
    <x v="0"/>
    <s v="group D"/>
    <x v="3"/>
    <x v="1"/>
    <x v="0"/>
    <n v="52"/>
    <n v="59"/>
    <n v="56"/>
    <n v="167"/>
    <n v="55.666666666666664"/>
    <s v="pass"/>
  </r>
  <r>
    <x v="1"/>
    <s v="group C"/>
    <x v="1"/>
    <x v="1"/>
    <x v="0"/>
    <n v="68"/>
    <n v="68"/>
    <n v="61"/>
    <n v="197"/>
    <n v="65.666666666666671"/>
    <s v="pass"/>
  </r>
  <r>
    <x v="1"/>
    <s v="group A"/>
    <x v="4"/>
    <x v="0"/>
    <x v="0"/>
    <n v="59"/>
    <n v="52"/>
    <n v="46"/>
    <n v="157"/>
    <n v="52.333333333333336"/>
    <s v="pass"/>
  </r>
  <r>
    <x v="0"/>
    <s v="group B"/>
    <x v="3"/>
    <x v="0"/>
    <x v="0"/>
    <n v="49"/>
    <n v="52"/>
    <n v="54"/>
    <n v="155"/>
    <n v="51.666666666666664"/>
    <s v="pass"/>
  </r>
  <r>
    <x v="1"/>
    <s v="group C"/>
    <x v="4"/>
    <x v="0"/>
    <x v="0"/>
    <n v="70"/>
    <n v="74"/>
    <n v="71"/>
    <n v="215"/>
    <n v="71.666666666666671"/>
    <s v="pass"/>
  </r>
  <r>
    <x v="1"/>
    <s v="group D"/>
    <x v="1"/>
    <x v="1"/>
    <x v="0"/>
    <n v="61"/>
    <n v="47"/>
    <n v="56"/>
    <n v="164"/>
    <n v="54.666666666666664"/>
    <s v="pass"/>
  </r>
  <r>
    <x v="0"/>
    <s v="group C"/>
    <x v="3"/>
    <x v="1"/>
    <x v="0"/>
    <n v="60"/>
    <n v="75"/>
    <n v="74"/>
    <n v="209"/>
    <n v="69.666666666666671"/>
    <s v="pass"/>
  </r>
  <r>
    <x v="1"/>
    <s v="group B"/>
    <x v="5"/>
    <x v="0"/>
    <x v="1"/>
    <n v="64"/>
    <n v="53"/>
    <n v="57"/>
    <n v="174"/>
    <n v="58"/>
    <s v="pass"/>
  </r>
  <r>
    <x v="1"/>
    <s v="group A"/>
    <x v="3"/>
    <x v="1"/>
    <x v="1"/>
    <n v="79"/>
    <n v="82"/>
    <n v="82"/>
    <n v="243"/>
    <n v="81"/>
    <s v="pass"/>
  </r>
  <r>
    <x v="0"/>
    <s v="group A"/>
    <x v="3"/>
    <x v="1"/>
    <x v="0"/>
    <n v="65"/>
    <n v="85"/>
    <n v="76"/>
    <n v="226"/>
    <n v="75.333333333333329"/>
    <s v="pass"/>
  </r>
  <r>
    <x v="0"/>
    <s v="group C"/>
    <x v="3"/>
    <x v="0"/>
    <x v="0"/>
    <n v="64"/>
    <n v="64"/>
    <n v="70"/>
    <n v="198"/>
    <n v="66"/>
    <s v="pass"/>
  </r>
  <r>
    <x v="0"/>
    <s v="group C"/>
    <x v="1"/>
    <x v="0"/>
    <x v="0"/>
    <n v="83"/>
    <n v="83"/>
    <n v="90"/>
    <n v="256"/>
    <n v="85.333333333333329"/>
    <s v="pass"/>
  </r>
  <r>
    <x v="0"/>
    <s v="group C"/>
    <x v="0"/>
    <x v="0"/>
    <x v="0"/>
    <n v="81"/>
    <n v="88"/>
    <n v="90"/>
    <n v="259"/>
    <n v="86.333333333333329"/>
    <s v="pass"/>
  </r>
  <r>
    <x v="0"/>
    <s v="group B"/>
    <x v="4"/>
    <x v="0"/>
    <x v="0"/>
    <n v="54"/>
    <n v="64"/>
    <n v="68"/>
    <n v="186"/>
    <n v="62"/>
    <s v="pass"/>
  </r>
  <r>
    <x v="1"/>
    <s v="group D"/>
    <x v="4"/>
    <x v="0"/>
    <x v="1"/>
    <n v="68"/>
    <n v="64"/>
    <n v="66"/>
    <n v="198"/>
    <n v="66"/>
    <s v="pass"/>
  </r>
  <r>
    <x v="0"/>
    <s v="group C"/>
    <x v="1"/>
    <x v="0"/>
    <x v="0"/>
    <n v="54"/>
    <n v="48"/>
    <n v="52"/>
    <n v="154"/>
    <n v="51.333333333333336"/>
    <s v="pass"/>
  </r>
  <r>
    <x v="0"/>
    <s v="group D"/>
    <x v="1"/>
    <x v="1"/>
    <x v="1"/>
    <n v="59"/>
    <n v="78"/>
    <n v="76"/>
    <n v="213"/>
    <n v="71"/>
    <s v="pass"/>
  </r>
  <r>
    <x v="0"/>
    <s v="group B"/>
    <x v="5"/>
    <x v="0"/>
    <x v="0"/>
    <n v="66"/>
    <n v="69"/>
    <n v="68"/>
    <n v="203"/>
    <n v="67.666666666666671"/>
    <s v="pass"/>
  </r>
  <r>
    <x v="1"/>
    <s v="group E"/>
    <x v="1"/>
    <x v="0"/>
    <x v="0"/>
    <n v="76"/>
    <n v="71"/>
    <n v="72"/>
    <n v="219"/>
    <n v="73"/>
    <s v="pass"/>
  </r>
  <r>
    <x v="0"/>
    <s v="group D"/>
    <x v="2"/>
    <x v="0"/>
    <x v="0"/>
    <n v="74"/>
    <n v="79"/>
    <n v="82"/>
    <n v="235"/>
    <n v="78.333333333333329"/>
    <s v="pass"/>
  </r>
  <r>
    <x v="0"/>
    <s v="group B"/>
    <x v="3"/>
    <x v="0"/>
    <x v="1"/>
    <n v="94"/>
    <n v="87"/>
    <n v="92"/>
    <n v="273"/>
    <n v="91"/>
    <s v="pass"/>
  </r>
  <r>
    <x v="1"/>
    <s v="group C"/>
    <x v="1"/>
    <x v="1"/>
    <x v="0"/>
    <n v="63"/>
    <n v="61"/>
    <n v="54"/>
    <n v="178"/>
    <n v="59.333333333333336"/>
    <s v="pass"/>
  </r>
  <r>
    <x v="0"/>
    <s v="group E"/>
    <x v="3"/>
    <x v="0"/>
    <x v="1"/>
    <n v="95"/>
    <n v="89"/>
    <n v="92"/>
    <n v="276"/>
    <n v="92"/>
    <s v="pass"/>
  </r>
  <r>
    <x v="0"/>
    <s v="group D"/>
    <x v="2"/>
    <x v="1"/>
    <x v="0"/>
    <n v="40"/>
    <n v="59"/>
    <n v="54"/>
    <n v="153"/>
    <n v="51"/>
    <s v="pass"/>
  </r>
  <r>
    <x v="0"/>
    <s v="group B"/>
    <x v="5"/>
    <x v="0"/>
    <x v="0"/>
    <n v="82"/>
    <n v="82"/>
    <n v="80"/>
    <n v="244"/>
    <n v="81.333333333333329"/>
    <s v="pass"/>
  </r>
  <r>
    <x v="1"/>
    <s v="group A"/>
    <x v="4"/>
    <x v="0"/>
    <x v="0"/>
    <n v="68"/>
    <n v="70"/>
    <n v="66"/>
    <n v="204"/>
    <n v="68"/>
    <s v="pass"/>
  </r>
  <r>
    <x v="1"/>
    <s v="group B"/>
    <x v="0"/>
    <x v="1"/>
    <x v="0"/>
    <n v="55"/>
    <n v="59"/>
    <n v="54"/>
    <n v="168"/>
    <n v="56"/>
    <s v="pass"/>
  </r>
  <r>
    <x v="1"/>
    <s v="group C"/>
    <x v="2"/>
    <x v="0"/>
    <x v="0"/>
    <n v="79"/>
    <n v="78"/>
    <n v="77"/>
    <n v="234"/>
    <n v="78"/>
    <s v="pass"/>
  </r>
  <r>
    <x v="0"/>
    <s v="group C"/>
    <x v="0"/>
    <x v="0"/>
    <x v="0"/>
    <n v="86"/>
    <n v="92"/>
    <n v="87"/>
    <n v="265"/>
    <n v="88.333333333333329"/>
    <s v="pass"/>
  </r>
  <r>
    <x v="1"/>
    <s v="group D"/>
    <x v="1"/>
    <x v="0"/>
    <x v="0"/>
    <n v="76"/>
    <n v="71"/>
    <n v="73"/>
    <n v="220"/>
    <n v="73.333333333333329"/>
    <s v="pass"/>
  </r>
  <r>
    <x v="1"/>
    <s v="group A"/>
    <x v="5"/>
    <x v="0"/>
    <x v="0"/>
    <n v="64"/>
    <n v="50"/>
    <n v="43"/>
    <n v="157"/>
    <n v="52.333333333333336"/>
    <s v="pass"/>
  </r>
  <r>
    <x v="1"/>
    <s v="group D"/>
    <x v="5"/>
    <x v="1"/>
    <x v="0"/>
    <n v="62"/>
    <n v="49"/>
    <n v="52"/>
    <n v="163"/>
    <n v="54.333333333333336"/>
    <s v="pass"/>
  </r>
  <r>
    <x v="0"/>
    <s v="group B"/>
    <x v="5"/>
    <x v="0"/>
    <x v="1"/>
    <n v="54"/>
    <n v="61"/>
    <n v="62"/>
    <n v="177"/>
    <n v="59"/>
    <s v="pass"/>
  </r>
  <r>
    <x v="0"/>
    <s v="group B"/>
    <x v="2"/>
    <x v="1"/>
    <x v="1"/>
    <n v="77"/>
    <n v="97"/>
    <n v="94"/>
    <n v="268"/>
    <n v="89.333333333333329"/>
    <s v="pass"/>
  </r>
  <r>
    <x v="0"/>
    <s v="group C"/>
    <x v="5"/>
    <x v="0"/>
    <x v="1"/>
    <n v="76"/>
    <n v="87"/>
    <n v="85"/>
    <n v="248"/>
    <n v="82.666666666666671"/>
    <s v="pass"/>
  </r>
  <r>
    <x v="0"/>
    <s v="group D"/>
    <x v="1"/>
    <x v="0"/>
    <x v="0"/>
    <n v="74"/>
    <n v="89"/>
    <n v="84"/>
    <n v="247"/>
    <n v="82.333333333333329"/>
    <s v="pass"/>
  </r>
  <r>
    <x v="0"/>
    <s v="group E"/>
    <x v="1"/>
    <x v="0"/>
    <x v="1"/>
    <n v="66"/>
    <n v="74"/>
    <n v="73"/>
    <n v="213"/>
    <n v="71"/>
    <s v="pass"/>
  </r>
  <r>
    <x v="0"/>
    <s v="group D"/>
    <x v="5"/>
    <x v="0"/>
    <x v="1"/>
    <n v="66"/>
    <n v="78"/>
    <n v="78"/>
    <n v="222"/>
    <n v="74"/>
    <s v="pass"/>
  </r>
  <r>
    <x v="0"/>
    <s v="group B"/>
    <x v="4"/>
    <x v="1"/>
    <x v="1"/>
    <n v="67"/>
    <n v="78"/>
    <n v="79"/>
    <n v="224"/>
    <n v="74.666666666666671"/>
    <s v="pass"/>
  </r>
  <r>
    <x v="1"/>
    <s v="group D"/>
    <x v="1"/>
    <x v="0"/>
    <x v="0"/>
    <n v="71"/>
    <n v="49"/>
    <n v="52"/>
    <n v="172"/>
    <n v="57.333333333333336"/>
    <s v="pass"/>
  </r>
  <r>
    <x v="0"/>
    <s v="group C"/>
    <x v="3"/>
    <x v="0"/>
    <x v="0"/>
    <n v="91"/>
    <n v="86"/>
    <n v="84"/>
    <n v="261"/>
    <n v="87"/>
    <s v="pass"/>
  </r>
  <r>
    <x v="1"/>
    <s v="group D"/>
    <x v="0"/>
    <x v="0"/>
    <x v="0"/>
    <n v="69"/>
    <n v="58"/>
    <n v="57"/>
    <n v="184"/>
    <n v="61.333333333333336"/>
    <s v="pass"/>
  </r>
  <r>
    <x v="1"/>
    <s v="group C"/>
    <x v="2"/>
    <x v="1"/>
    <x v="0"/>
    <n v="54"/>
    <n v="59"/>
    <n v="50"/>
    <n v="163"/>
    <n v="54.333333333333336"/>
    <s v="pass"/>
  </r>
  <r>
    <x v="1"/>
    <s v="group C"/>
    <x v="4"/>
    <x v="0"/>
    <x v="1"/>
    <n v="53"/>
    <n v="52"/>
    <n v="49"/>
    <n v="154"/>
    <n v="51.333333333333336"/>
    <s v="pass"/>
  </r>
  <r>
    <x v="1"/>
    <s v="group E"/>
    <x v="1"/>
    <x v="0"/>
    <x v="0"/>
    <n v="68"/>
    <n v="60"/>
    <n v="59"/>
    <n v="187"/>
    <n v="62.333333333333336"/>
    <s v="pass"/>
  </r>
  <r>
    <x v="1"/>
    <s v="group C"/>
    <x v="5"/>
    <x v="1"/>
    <x v="1"/>
    <n v="56"/>
    <n v="61"/>
    <n v="60"/>
    <n v="177"/>
    <n v="59"/>
    <s v="pass"/>
  </r>
  <r>
    <x v="0"/>
    <s v="group C"/>
    <x v="4"/>
    <x v="1"/>
    <x v="0"/>
    <n v="36"/>
    <n v="53"/>
    <n v="43"/>
    <n v="132"/>
    <n v="44"/>
    <s v="pass"/>
  </r>
  <r>
    <x v="0"/>
    <s v="group D"/>
    <x v="0"/>
    <x v="1"/>
    <x v="0"/>
    <n v="29"/>
    <n v="41"/>
    <n v="47"/>
    <n v="117"/>
    <n v="39"/>
    <s v="fail"/>
  </r>
  <r>
    <x v="0"/>
    <s v="group C"/>
    <x v="3"/>
    <x v="0"/>
    <x v="0"/>
    <n v="62"/>
    <n v="74"/>
    <n v="70"/>
    <n v="206"/>
    <n v="68.666666666666671"/>
    <s v="pass"/>
  </r>
  <r>
    <x v="0"/>
    <s v="group C"/>
    <x v="3"/>
    <x v="0"/>
    <x v="1"/>
    <n v="68"/>
    <n v="67"/>
    <n v="73"/>
    <n v="208"/>
    <n v="69.333333333333329"/>
    <s v="pass"/>
  </r>
  <r>
    <x v="0"/>
    <s v="group C"/>
    <x v="5"/>
    <x v="0"/>
    <x v="0"/>
    <n v="47"/>
    <n v="54"/>
    <n v="53"/>
    <n v="154"/>
    <n v="51.333333333333336"/>
    <s v="pass"/>
  </r>
  <r>
    <x v="1"/>
    <s v="group E"/>
    <x v="3"/>
    <x v="0"/>
    <x v="1"/>
    <n v="62"/>
    <n v="61"/>
    <n v="58"/>
    <n v="181"/>
    <n v="60.333333333333336"/>
    <s v="pass"/>
  </r>
  <r>
    <x v="0"/>
    <s v="group E"/>
    <x v="3"/>
    <x v="0"/>
    <x v="1"/>
    <n v="79"/>
    <n v="88"/>
    <n v="94"/>
    <n v="261"/>
    <n v="87"/>
    <s v="pass"/>
  </r>
  <r>
    <x v="1"/>
    <s v="group B"/>
    <x v="4"/>
    <x v="0"/>
    <x v="1"/>
    <n v="73"/>
    <n v="69"/>
    <n v="68"/>
    <n v="210"/>
    <n v="70"/>
    <s v="pass"/>
  </r>
  <r>
    <x v="0"/>
    <s v="group C"/>
    <x v="0"/>
    <x v="1"/>
    <x v="1"/>
    <n v="66"/>
    <n v="83"/>
    <n v="83"/>
    <n v="232"/>
    <n v="77.333333333333329"/>
    <s v="pass"/>
  </r>
  <r>
    <x v="1"/>
    <s v="group C"/>
    <x v="3"/>
    <x v="0"/>
    <x v="1"/>
    <n v="51"/>
    <n v="60"/>
    <n v="58"/>
    <n v="169"/>
    <n v="56.333333333333336"/>
    <s v="pass"/>
  </r>
  <r>
    <x v="0"/>
    <s v="group D"/>
    <x v="4"/>
    <x v="0"/>
    <x v="0"/>
    <n v="51"/>
    <n v="66"/>
    <n v="62"/>
    <n v="179"/>
    <n v="59.666666666666664"/>
    <s v="pass"/>
  </r>
  <r>
    <x v="1"/>
    <s v="group E"/>
    <x v="0"/>
    <x v="0"/>
    <x v="1"/>
    <n v="85"/>
    <n v="66"/>
    <n v="71"/>
    <n v="222"/>
    <n v="74"/>
    <s v="pass"/>
  </r>
  <r>
    <x v="1"/>
    <s v="group A"/>
    <x v="3"/>
    <x v="0"/>
    <x v="1"/>
    <n v="97"/>
    <n v="92"/>
    <n v="86"/>
    <n v="275"/>
    <n v="91.666666666666671"/>
    <s v="pass"/>
  </r>
  <r>
    <x v="1"/>
    <s v="group C"/>
    <x v="4"/>
    <x v="0"/>
    <x v="1"/>
    <n v="75"/>
    <n v="69"/>
    <n v="68"/>
    <n v="212"/>
    <n v="70.666666666666671"/>
    <s v="pass"/>
  </r>
  <r>
    <x v="1"/>
    <s v="group D"/>
    <x v="3"/>
    <x v="1"/>
    <x v="1"/>
    <n v="79"/>
    <n v="82"/>
    <n v="80"/>
    <n v="241"/>
    <n v="80.333333333333329"/>
    <s v="pass"/>
  </r>
  <r>
    <x v="0"/>
    <s v="group C"/>
    <x v="3"/>
    <x v="0"/>
    <x v="0"/>
    <n v="81"/>
    <n v="77"/>
    <n v="79"/>
    <n v="237"/>
    <n v="79"/>
    <s v="pass"/>
  </r>
  <r>
    <x v="0"/>
    <s v="group D"/>
    <x v="3"/>
    <x v="0"/>
    <x v="0"/>
    <n v="82"/>
    <n v="95"/>
    <n v="89"/>
    <n v="266"/>
    <n v="88.666666666666671"/>
    <s v="pass"/>
  </r>
  <r>
    <x v="0"/>
    <s v="group D"/>
    <x v="2"/>
    <x v="0"/>
    <x v="0"/>
    <n v="64"/>
    <n v="63"/>
    <n v="66"/>
    <n v="193"/>
    <n v="64.333333333333329"/>
    <s v="pass"/>
  </r>
  <r>
    <x v="1"/>
    <s v="group E"/>
    <x v="5"/>
    <x v="1"/>
    <x v="1"/>
    <n v="78"/>
    <n v="83"/>
    <n v="80"/>
    <n v="241"/>
    <n v="80.333333333333329"/>
    <s v="pass"/>
  </r>
  <r>
    <x v="0"/>
    <s v="group A"/>
    <x v="5"/>
    <x v="0"/>
    <x v="1"/>
    <n v="92"/>
    <n v="100"/>
    <n v="97"/>
    <n v="289"/>
    <n v="96.333333333333329"/>
    <s v="pass"/>
  </r>
  <r>
    <x v="1"/>
    <s v="group C"/>
    <x v="4"/>
    <x v="0"/>
    <x v="1"/>
    <n v="72"/>
    <n v="67"/>
    <n v="64"/>
    <n v="203"/>
    <n v="67.666666666666671"/>
    <s v="pass"/>
  </r>
  <r>
    <x v="0"/>
    <s v="group C"/>
    <x v="4"/>
    <x v="1"/>
    <x v="0"/>
    <n v="62"/>
    <n v="67"/>
    <n v="64"/>
    <n v="193"/>
    <n v="64.333333333333329"/>
    <s v="pass"/>
  </r>
  <r>
    <x v="1"/>
    <s v="group C"/>
    <x v="2"/>
    <x v="0"/>
    <x v="0"/>
    <n v="79"/>
    <n v="72"/>
    <n v="69"/>
    <n v="220"/>
    <n v="73.333333333333329"/>
    <s v="pass"/>
  </r>
  <r>
    <x v="1"/>
    <s v="group C"/>
    <x v="5"/>
    <x v="1"/>
    <x v="0"/>
    <n v="79"/>
    <n v="76"/>
    <n v="65"/>
    <n v="220"/>
    <n v="73.333333333333329"/>
    <s v="pass"/>
  </r>
  <r>
    <x v="1"/>
    <s v="group B"/>
    <x v="0"/>
    <x v="1"/>
    <x v="1"/>
    <n v="87"/>
    <n v="90"/>
    <n v="88"/>
    <n v="265"/>
    <n v="88.333333333333329"/>
    <s v="pass"/>
  </r>
  <r>
    <x v="0"/>
    <s v="group B"/>
    <x v="3"/>
    <x v="0"/>
    <x v="0"/>
    <n v="40"/>
    <n v="48"/>
    <n v="50"/>
    <n v="138"/>
    <n v="46"/>
    <s v="pass"/>
  </r>
  <r>
    <x v="1"/>
    <s v="group D"/>
    <x v="1"/>
    <x v="1"/>
    <x v="0"/>
    <n v="77"/>
    <n v="62"/>
    <n v="64"/>
    <n v="203"/>
    <n v="67.666666666666671"/>
    <s v="pass"/>
  </r>
  <r>
    <x v="1"/>
    <s v="group E"/>
    <x v="3"/>
    <x v="0"/>
    <x v="0"/>
    <n v="53"/>
    <n v="45"/>
    <n v="40"/>
    <n v="138"/>
    <n v="46"/>
    <s v="pass"/>
  </r>
  <r>
    <x v="0"/>
    <s v="group C"/>
    <x v="1"/>
    <x v="1"/>
    <x v="0"/>
    <n v="32"/>
    <n v="39"/>
    <n v="33"/>
    <n v="104"/>
    <n v="34.666666666666664"/>
    <s v="fail"/>
  </r>
  <r>
    <x v="0"/>
    <s v="group C"/>
    <x v="3"/>
    <x v="0"/>
    <x v="1"/>
    <n v="55"/>
    <n v="72"/>
    <n v="79"/>
    <n v="206"/>
    <n v="68.666666666666671"/>
    <s v="pass"/>
  </r>
  <r>
    <x v="1"/>
    <s v="group C"/>
    <x v="2"/>
    <x v="1"/>
    <x v="0"/>
    <n v="61"/>
    <n v="67"/>
    <n v="66"/>
    <n v="194"/>
    <n v="64.666666666666671"/>
    <s v="pass"/>
  </r>
  <r>
    <x v="0"/>
    <s v="group B"/>
    <x v="3"/>
    <x v="1"/>
    <x v="0"/>
    <n v="53"/>
    <n v="70"/>
    <n v="70"/>
    <n v="193"/>
    <n v="64.333333333333329"/>
    <s v="pass"/>
  </r>
  <r>
    <x v="1"/>
    <s v="group D"/>
    <x v="5"/>
    <x v="0"/>
    <x v="0"/>
    <n v="73"/>
    <n v="66"/>
    <n v="62"/>
    <n v="201"/>
    <n v="67"/>
    <s v="pass"/>
  </r>
  <r>
    <x v="0"/>
    <s v="group D"/>
    <x v="1"/>
    <x v="0"/>
    <x v="1"/>
    <n v="74"/>
    <n v="75"/>
    <n v="79"/>
    <n v="228"/>
    <n v="76"/>
    <s v="pass"/>
  </r>
  <r>
    <x v="0"/>
    <s v="group C"/>
    <x v="1"/>
    <x v="0"/>
    <x v="0"/>
    <n v="63"/>
    <n v="74"/>
    <n v="74"/>
    <n v="211"/>
    <n v="70.333333333333329"/>
    <s v="pass"/>
  </r>
  <r>
    <x v="1"/>
    <s v="group C"/>
    <x v="0"/>
    <x v="0"/>
    <x v="1"/>
    <n v="96"/>
    <n v="90"/>
    <n v="92"/>
    <n v="278"/>
    <n v="92.666666666666671"/>
    <s v="pass"/>
  </r>
  <r>
    <x v="0"/>
    <s v="group D"/>
    <x v="1"/>
    <x v="1"/>
    <x v="1"/>
    <n v="63"/>
    <n v="80"/>
    <n v="80"/>
    <n v="223"/>
    <n v="74.333333333333329"/>
    <s v="pass"/>
  </r>
  <r>
    <x v="1"/>
    <s v="group B"/>
    <x v="0"/>
    <x v="1"/>
    <x v="0"/>
    <n v="48"/>
    <n v="51"/>
    <n v="46"/>
    <n v="145"/>
    <n v="48.333333333333336"/>
    <s v="pass"/>
  </r>
  <r>
    <x v="1"/>
    <s v="group B"/>
    <x v="3"/>
    <x v="0"/>
    <x v="0"/>
    <n v="48"/>
    <n v="43"/>
    <n v="45"/>
    <n v="136"/>
    <n v="45.333333333333336"/>
    <s v="pass"/>
  </r>
  <r>
    <x v="0"/>
    <s v="group E"/>
    <x v="0"/>
    <x v="1"/>
    <x v="1"/>
    <n v="92"/>
    <n v="100"/>
    <n v="100"/>
    <n v="292"/>
    <n v="97.333333333333329"/>
    <s v="pass"/>
  </r>
  <r>
    <x v="0"/>
    <s v="group D"/>
    <x v="2"/>
    <x v="1"/>
    <x v="1"/>
    <n v="61"/>
    <n v="71"/>
    <n v="78"/>
    <n v="210"/>
    <n v="70"/>
    <s v="pass"/>
  </r>
  <r>
    <x v="1"/>
    <s v="group B"/>
    <x v="4"/>
    <x v="1"/>
    <x v="0"/>
    <n v="63"/>
    <n v="48"/>
    <n v="47"/>
    <n v="158"/>
    <n v="52.666666666666664"/>
    <s v="pass"/>
  </r>
  <r>
    <x v="1"/>
    <s v="group D"/>
    <x v="0"/>
    <x v="1"/>
    <x v="0"/>
    <n v="68"/>
    <n v="68"/>
    <n v="67"/>
    <n v="203"/>
    <n v="67.666666666666671"/>
    <s v="pass"/>
  </r>
  <r>
    <x v="1"/>
    <s v="group B"/>
    <x v="1"/>
    <x v="0"/>
    <x v="1"/>
    <n v="71"/>
    <n v="75"/>
    <n v="70"/>
    <n v="216"/>
    <n v="72"/>
    <s v="pass"/>
  </r>
  <r>
    <x v="1"/>
    <s v="group A"/>
    <x v="0"/>
    <x v="0"/>
    <x v="0"/>
    <n v="91"/>
    <n v="96"/>
    <n v="92"/>
    <n v="279"/>
    <n v="93"/>
    <s v="pass"/>
  </r>
  <r>
    <x v="0"/>
    <s v="group C"/>
    <x v="1"/>
    <x v="0"/>
    <x v="0"/>
    <n v="53"/>
    <n v="62"/>
    <n v="56"/>
    <n v="171"/>
    <n v="57"/>
    <s v="pass"/>
  </r>
  <r>
    <x v="0"/>
    <s v="group C"/>
    <x v="4"/>
    <x v="1"/>
    <x v="1"/>
    <n v="50"/>
    <n v="66"/>
    <n v="64"/>
    <n v="180"/>
    <n v="60"/>
    <s v="pass"/>
  </r>
  <r>
    <x v="0"/>
    <s v="group E"/>
    <x v="4"/>
    <x v="0"/>
    <x v="0"/>
    <n v="74"/>
    <n v="81"/>
    <n v="71"/>
    <n v="226"/>
    <n v="75.333333333333329"/>
    <s v="pass"/>
  </r>
  <r>
    <x v="1"/>
    <s v="group A"/>
    <x v="3"/>
    <x v="1"/>
    <x v="1"/>
    <n v="40"/>
    <n v="55"/>
    <n v="53"/>
    <n v="148"/>
    <n v="49.333333333333336"/>
    <s v="pass"/>
  </r>
  <r>
    <x v="1"/>
    <s v="group A"/>
    <x v="1"/>
    <x v="0"/>
    <x v="1"/>
    <n v="61"/>
    <n v="51"/>
    <n v="52"/>
    <n v="164"/>
    <n v="54.666666666666664"/>
    <s v="pass"/>
  </r>
  <r>
    <x v="0"/>
    <s v="group B"/>
    <x v="4"/>
    <x v="0"/>
    <x v="0"/>
    <n v="81"/>
    <n v="91"/>
    <n v="89"/>
    <n v="261"/>
    <n v="87"/>
    <s v="pass"/>
  </r>
  <r>
    <x v="0"/>
    <s v="group B"/>
    <x v="1"/>
    <x v="1"/>
    <x v="1"/>
    <n v="48"/>
    <n v="56"/>
    <n v="58"/>
    <n v="162"/>
    <n v="54"/>
    <s v="pass"/>
  </r>
  <r>
    <x v="0"/>
    <s v="group D"/>
    <x v="2"/>
    <x v="0"/>
    <x v="0"/>
    <n v="53"/>
    <n v="61"/>
    <n v="68"/>
    <n v="182"/>
    <n v="60.666666666666664"/>
    <s v="pass"/>
  </r>
  <r>
    <x v="0"/>
    <s v="group D"/>
    <x v="5"/>
    <x v="0"/>
    <x v="0"/>
    <n v="81"/>
    <n v="97"/>
    <n v="96"/>
    <n v="274"/>
    <n v="91.333333333333329"/>
    <s v="pass"/>
  </r>
  <r>
    <x v="0"/>
    <s v="group E"/>
    <x v="5"/>
    <x v="0"/>
    <x v="0"/>
    <n v="77"/>
    <n v="79"/>
    <n v="80"/>
    <n v="236"/>
    <n v="78.666666666666671"/>
    <s v="pass"/>
  </r>
  <r>
    <x v="0"/>
    <s v="group D"/>
    <x v="0"/>
    <x v="1"/>
    <x v="0"/>
    <n v="63"/>
    <n v="73"/>
    <n v="78"/>
    <n v="214"/>
    <n v="71.333333333333329"/>
    <s v="pass"/>
  </r>
  <r>
    <x v="0"/>
    <s v="group D"/>
    <x v="3"/>
    <x v="0"/>
    <x v="1"/>
    <n v="73"/>
    <n v="75"/>
    <n v="80"/>
    <n v="228"/>
    <n v="76"/>
    <s v="pass"/>
  </r>
  <r>
    <x v="0"/>
    <s v="group D"/>
    <x v="1"/>
    <x v="0"/>
    <x v="0"/>
    <n v="69"/>
    <n v="77"/>
    <n v="77"/>
    <n v="223"/>
    <n v="74.333333333333329"/>
    <s v="pass"/>
  </r>
  <r>
    <x v="0"/>
    <s v="group C"/>
    <x v="3"/>
    <x v="0"/>
    <x v="0"/>
    <n v="65"/>
    <n v="76"/>
    <n v="76"/>
    <n v="217"/>
    <n v="72.333333333333329"/>
    <s v="pass"/>
  </r>
  <r>
    <x v="0"/>
    <s v="group A"/>
    <x v="4"/>
    <x v="0"/>
    <x v="0"/>
    <n v="55"/>
    <n v="73"/>
    <n v="73"/>
    <n v="201"/>
    <n v="67"/>
    <s v="pass"/>
  </r>
  <r>
    <x v="0"/>
    <s v="group C"/>
    <x v="0"/>
    <x v="1"/>
    <x v="0"/>
    <n v="44"/>
    <n v="63"/>
    <n v="62"/>
    <n v="169"/>
    <n v="56.333333333333336"/>
    <s v="pass"/>
  </r>
  <r>
    <x v="0"/>
    <s v="group C"/>
    <x v="1"/>
    <x v="0"/>
    <x v="0"/>
    <n v="54"/>
    <n v="64"/>
    <n v="65"/>
    <n v="183"/>
    <n v="61"/>
    <s v="pass"/>
  </r>
  <r>
    <x v="0"/>
    <s v="group A"/>
    <x v="5"/>
    <x v="0"/>
    <x v="0"/>
    <n v="48"/>
    <n v="66"/>
    <n v="65"/>
    <n v="179"/>
    <n v="59.666666666666664"/>
    <s v="pass"/>
  </r>
  <r>
    <x v="1"/>
    <s v="group C"/>
    <x v="1"/>
    <x v="1"/>
    <x v="0"/>
    <n v="58"/>
    <n v="57"/>
    <n v="54"/>
    <n v="169"/>
    <n v="56.333333333333336"/>
    <s v="pass"/>
  </r>
  <r>
    <x v="1"/>
    <s v="group A"/>
    <x v="5"/>
    <x v="0"/>
    <x v="0"/>
    <n v="71"/>
    <n v="62"/>
    <n v="50"/>
    <n v="183"/>
    <n v="61"/>
    <s v="pass"/>
  </r>
  <r>
    <x v="1"/>
    <s v="group E"/>
    <x v="0"/>
    <x v="0"/>
    <x v="0"/>
    <n v="68"/>
    <n v="68"/>
    <n v="64"/>
    <n v="200"/>
    <n v="66.666666666666671"/>
    <s v="pass"/>
  </r>
  <r>
    <x v="0"/>
    <s v="group E"/>
    <x v="4"/>
    <x v="0"/>
    <x v="0"/>
    <n v="74"/>
    <n v="76"/>
    <n v="73"/>
    <n v="223"/>
    <n v="74.333333333333329"/>
    <s v="pass"/>
  </r>
  <r>
    <x v="0"/>
    <s v="group C"/>
    <x v="0"/>
    <x v="0"/>
    <x v="1"/>
    <n v="92"/>
    <n v="100"/>
    <n v="99"/>
    <n v="291"/>
    <n v="97"/>
    <s v="pass"/>
  </r>
  <r>
    <x v="0"/>
    <s v="group C"/>
    <x v="0"/>
    <x v="0"/>
    <x v="1"/>
    <n v="56"/>
    <n v="79"/>
    <n v="72"/>
    <n v="207"/>
    <n v="69"/>
    <s v="pass"/>
  </r>
  <r>
    <x v="1"/>
    <s v="group B"/>
    <x v="4"/>
    <x v="1"/>
    <x v="0"/>
    <n v="30"/>
    <n v="24"/>
    <n v="15"/>
    <n v="69"/>
    <n v="23"/>
    <s v="fail"/>
  </r>
  <r>
    <x v="1"/>
    <s v="group A"/>
    <x v="5"/>
    <x v="0"/>
    <x v="0"/>
    <n v="53"/>
    <n v="54"/>
    <n v="48"/>
    <n v="155"/>
    <n v="51.666666666666664"/>
    <s v="pass"/>
  </r>
  <r>
    <x v="0"/>
    <s v="group D"/>
    <x v="4"/>
    <x v="0"/>
    <x v="0"/>
    <n v="69"/>
    <n v="77"/>
    <n v="73"/>
    <n v="219"/>
    <n v="73"/>
    <s v="pass"/>
  </r>
  <r>
    <x v="0"/>
    <s v="group D"/>
    <x v="5"/>
    <x v="0"/>
    <x v="0"/>
    <n v="65"/>
    <n v="82"/>
    <n v="81"/>
    <n v="228"/>
    <n v="76"/>
    <s v="pass"/>
  </r>
  <r>
    <x v="0"/>
    <s v="group D"/>
    <x v="2"/>
    <x v="0"/>
    <x v="0"/>
    <n v="54"/>
    <n v="60"/>
    <n v="63"/>
    <n v="177"/>
    <n v="59"/>
    <s v="pass"/>
  </r>
  <r>
    <x v="0"/>
    <s v="group C"/>
    <x v="4"/>
    <x v="0"/>
    <x v="0"/>
    <n v="29"/>
    <n v="29"/>
    <n v="30"/>
    <n v="88"/>
    <n v="29.333333333333332"/>
    <s v="fail"/>
  </r>
  <r>
    <x v="0"/>
    <s v="group E"/>
    <x v="1"/>
    <x v="0"/>
    <x v="0"/>
    <n v="76"/>
    <n v="78"/>
    <n v="80"/>
    <n v="234"/>
    <n v="78"/>
    <s v="pass"/>
  </r>
  <r>
    <x v="1"/>
    <s v="group D"/>
    <x v="4"/>
    <x v="1"/>
    <x v="0"/>
    <n v="60"/>
    <n v="57"/>
    <n v="51"/>
    <n v="168"/>
    <n v="56"/>
    <s v="pass"/>
  </r>
  <r>
    <x v="1"/>
    <s v="group D"/>
    <x v="2"/>
    <x v="1"/>
    <x v="1"/>
    <n v="84"/>
    <n v="89"/>
    <n v="90"/>
    <n v="263"/>
    <n v="87.666666666666671"/>
    <s v="pass"/>
  </r>
  <r>
    <x v="1"/>
    <s v="group C"/>
    <x v="5"/>
    <x v="0"/>
    <x v="0"/>
    <n v="75"/>
    <n v="72"/>
    <n v="62"/>
    <n v="209"/>
    <n v="69.666666666666671"/>
    <s v="pass"/>
  </r>
  <r>
    <x v="0"/>
    <s v="group C"/>
    <x v="3"/>
    <x v="0"/>
    <x v="0"/>
    <n v="85"/>
    <n v="84"/>
    <n v="82"/>
    <n v="251"/>
    <n v="83.666666666666671"/>
    <s v="pass"/>
  </r>
  <r>
    <x v="0"/>
    <s v="group C"/>
    <x v="2"/>
    <x v="1"/>
    <x v="0"/>
    <n v="40"/>
    <n v="58"/>
    <n v="54"/>
    <n v="152"/>
    <n v="50.666666666666664"/>
    <s v="pass"/>
  </r>
  <r>
    <x v="0"/>
    <s v="group E"/>
    <x v="1"/>
    <x v="0"/>
    <x v="0"/>
    <n v="61"/>
    <n v="64"/>
    <n v="62"/>
    <n v="187"/>
    <n v="62.333333333333336"/>
    <s v="pass"/>
  </r>
  <r>
    <x v="0"/>
    <s v="group B"/>
    <x v="3"/>
    <x v="0"/>
    <x v="0"/>
    <n v="58"/>
    <n v="63"/>
    <n v="65"/>
    <n v="186"/>
    <n v="62"/>
    <s v="pass"/>
  </r>
  <r>
    <x v="1"/>
    <s v="group D"/>
    <x v="1"/>
    <x v="1"/>
    <x v="1"/>
    <n v="69"/>
    <n v="60"/>
    <n v="63"/>
    <n v="192"/>
    <n v="64"/>
    <s v="pass"/>
  </r>
  <r>
    <x v="0"/>
    <s v="group C"/>
    <x v="1"/>
    <x v="0"/>
    <x v="0"/>
    <n v="58"/>
    <n v="59"/>
    <n v="66"/>
    <n v="183"/>
    <n v="61"/>
    <s v="pass"/>
  </r>
  <r>
    <x v="1"/>
    <s v="group C"/>
    <x v="0"/>
    <x v="0"/>
    <x v="1"/>
    <n v="94"/>
    <n v="90"/>
    <n v="91"/>
    <n v="275"/>
    <n v="91.666666666666671"/>
    <s v="pass"/>
  </r>
  <r>
    <x v="0"/>
    <s v="group C"/>
    <x v="3"/>
    <x v="0"/>
    <x v="0"/>
    <n v="65"/>
    <n v="77"/>
    <n v="74"/>
    <n v="216"/>
    <n v="72"/>
    <s v="pass"/>
  </r>
  <r>
    <x v="0"/>
    <s v="group A"/>
    <x v="3"/>
    <x v="0"/>
    <x v="0"/>
    <n v="82"/>
    <n v="93"/>
    <n v="93"/>
    <n v="268"/>
    <n v="89.333333333333329"/>
    <s v="pass"/>
  </r>
  <r>
    <x v="0"/>
    <s v="group C"/>
    <x v="4"/>
    <x v="0"/>
    <x v="0"/>
    <n v="60"/>
    <n v="68"/>
    <n v="72"/>
    <n v="200"/>
    <n v="66.666666666666671"/>
    <s v="pass"/>
  </r>
  <r>
    <x v="0"/>
    <s v="group E"/>
    <x v="0"/>
    <x v="0"/>
    <x v="0"/>
    <n v="37"/>
    <n v="45"/>
    <n v="38"/>
    <n v="120"/>
    <n v="40"/>
    <s v="pass"/>
  </r>
  <r>
    <x v="1"/>
    <s v="group D"/>
    <x v="0"/>
    <x v="0"/>
    <x v="0"/>
    <n v="88"/>
    <n v="78"/>
    <n v="83"/>
    <n v="249"/>
    <n v="83"/>
    <s v="pass"/>
  </r>
  <r>
    <x v="1"/>
    <s v="group D"/>
    <x v="2"/>
    <x v="0"/>
    <x v="0"/>
    <n v="95"/>
    <n v="81"/>
    <n v="84"/>
    <n v="260"/>
    <n v="86.666666666666671"/>
    <s v="pass"/>
  </r>
  <r>
    <x v="1"/>
    <s v="group C"/>
    <x v="3"/>
    <x v="1"/>
    <x v="1"/>
    <n v="65"/>
    <n v="73"/>
    <n v="68"/>
    <n v="206"/>
    <n v="68.666666666666671"/>
    <s v="pass"/>
  </r>
  <r>
    <x v="0"/>
    <s v="group C"/>
    <x v="4"/>
    <x v="1"/>
    <x v="0"/>
    <n v="35"/>
    <n v="61"/>
    <n v="54"/>
    <n v="150"/>
    <n v="50"/>
    <s v="pass"/>
  </r>
  <r>
    <x v="1"/>
    <s v="group B"/>
    <x v="0"/>
    <x v="1"/>
    <x v="0"/>
    <n v="62"/>
    <n v="63"/>
    <n v="56"/>
    <n v="181"/>
    <n v="60.333333333333336"/>
    <s v="pass"/>
  </r>
  <r>
    <x v="1"/>
    <s v="group C"/>
    <x v="4"/>
    <x v="1"/>
    <x v="1"/>
    <n v="58"/>
    <n v="51"/>
    <n v="52"/>
    <n v="161"/>
    <n v="53.666666666666664"/>
    <s v="pass"/>
  </r>
  <r>
    <x v="1"/>
    <s v="group A"/>
    <x v="1"/>
    <x v="0"/>
    <x v="1"/>
    <n v="100"/>
    <n v="96"/>
    <n v="86"/>
    <n v="282"/>
    <n v="94"/>
    <s v="pass"/>
  </r>
  <r>
    <x v="0"/>
    <s v="group E"/>
    <x v="0"/>
    <x v="1"/>
    <x v="0"/>
    <n v="61"/>
    <n v="58"/>
    <n v="62"/>
    <n v="181"/>
    <n v="60.333333333333336"/>
    <s v="pass"/>
  </r>
  <r>
    <x v="1"/>
    <s v="group D"/>
    <x v="1"/>
    <x v="0"/>
    <x v="1"/>
    <n v="100"/>
    <n v="97"/>
    <n v="99"/>
    <n v="296"/>
    <n v="98.666666666666671"/>
    <s v="pass"/>
  </r>
  <r>
    <x v="1"/>
    <s v="group B"/>
    <x v="3"/>
    <x v="1"/>
    <x v="1"/>
    <n v="69"/>
    <n v="70"/>
    <n v="63"/>
    <n v="202"/>
    <n v="67.333333333333329"/>
    <s v="pass"/>
  </r>
  <r>
    <x v="1"/>
    <s v="group D"/>
    <x v="3"/>
    <x v="0"/>
    <x v="0"/>
    <n v="61"/>
    <n v="48"/>
    <n v="46"/>
    <n v="155"/>
    <n v="51.666666666666664"/>
    <s v="pass"/>
  </r>
  <r>
    <x v="1"/>
    <s v="group D"/>
    <x v="1"/>
    <x v="1"/>
    <x v="0"/>
    <n v="49"/>
    <n v="57"/>
    <n v="46"/>
    <n v="152"/>
    <n v="50.666666666666664"/>
    <s v="pass"/>
  </r>
  <r>
    <x v="0"/>
    <s v="group C"/>
    <x v="5"/>
    <x v="0"/>
    <x v="1"/>
    <n v="44"/>
    <n v="51"/>
    <n v="55"/>
    <n v="150"/>
    <n v="50"/>
    <s v="pass"/>
  </r>
  <r>
    <x v="1"/>
    <s v="group D"/>
    <x v="1"/>
    <x v="0"/>
    <x v="0"/>
    <n v="67"/>
    <n v="64"/>
    <n v="70"/>
    <n v="201"/>
    <n v="67"/>
    <s v="pass"/>
  </r>
  <r>
    <x v="1"/>
    <s v="group B"/>
    <x v="4"/>
    <x v="0"/>
    <x v="0"/>
    <n v="79"/>
    <n v="60"/>
    <n v="65"/>
    <n v="204"/>
    <n v="68"/>
    <s v="pass"/>
  </r>
  <r>
    <x v="0"/>
    <s v="group B"/>
    <x v="0"/>
    <x v="0"/>
    <x v="1"/>
    <n v="66"/>
    <n v="74"/>
    <n v="81"/>
    <n v="221"/>
    <n v="73.666666666666671"/>
    <s v="pass"/>
  </r>
  <r>
    <x v="0"/>
    <s v="group C"/>
    <x v="4"/>
    <x v="0"/>
    <x v="0"/>
    <n v="75"/>
    <n v="88"/>
    <n v="85"/>
    <n v="248"/>
    <n v="82.666666666666671"/>
    <s v="pass"/>
  </r>
  <r>
    <x v="1"/>
    <s v="group D"/>
    <x v="5"/>
    <x v="0"/>
    <x v="0"/>
    <n v="84"/>
    <n v="84"/>
    <n v="80"/>
    <n v="248"/>
    <n v="82.666666666666671"/>
    <s v="pass"/>
  </r>
  <r>
    <x v="1"/>
    <s v="group A"/>
    <x v="4"/>
    <x v="0"/>
    <x v="0"/>
    <n v="71"/>
    <n v="74"/>
    <n v="64"/>
    <n v="209"/>
    <n v="69.666666666666671"/>
    <s v="pass"/>
  </r>
  <r>
    <x v="0"/>
    <s v="group B"/>
    <x v="4"/>
    <x v="1"/>
    <x v="1"/>
    <n v="67"/>
    <n v="80"/>
    <n v="81"/>
    <n v="228"/>
    <n v="76"/>
    <s v="pass"/>
  </r>
  <r>
    <x v="0"/>
    <s v="group D"/>
    <x v="5"/>
    <x v="0"/>
    <x v="1"/>
    <n v="80"/>
    <n v="92"/>
    <n v="88"/>
    <n v="260"/>
    <n v="86.666666666666671"/>
    <s v="pass"/>
  </r>
  <r>
    <x v="1"/>
    <s v="group E"/>
    <x v="1"/>
    <x v="0"/>
    <x v="0"/>
    <n v="86"/>
    <n v="76"/>
    <n v="74"/>
    <n v="236"/>
    <n v="78.666666666666671"/>
    <s v="pass"/>
  </r>
  <r>
    <x v="0"/>
    <s v="group D"/>
    <x v="3"/>
    <x v="0"/>
    <x v="0"/>
    <n v="76"/>
    <n v="74"/>
    <n v="73"/>
    <n v="223"/>
    <n v="74.333333333333329"/>
    <s v="pass"/>
  </r>
  <r>
    <x v="1"/>
    <s v="group D"/>
    <x v="4"/>
    <x v="0"/>
    <x v="0"/>
    <n v="41"/>
    <n v="52"/>
    <n v="51"/>
    <n v="144"/>
    <n v="48"/>
    <s v="pass"/>
  </r>
  <r>
    <x v="0"/>
    <s v="group D"/>
    <x v="3"/>
    <x v="1"/>
    <x v="1"/>
    <n v="74"/>
    <n v="88"/>
    <n v="90"/>
    <n v="252"/>
    <n v="84"/>
    <s v="pass"/>
  </r>
  <r>
    <x v="0"/>
    <s v="group B"/>
    <x v="5"/>
    <x v="1"/>
    <x v="0"/>
    <n v="72"/>
    <n v="81"/>
    <n v="79"/>
    <n v="232"/>
    <n v="77.333333333333329"/>
    <s v="pass"/>
  </r>
  <r>
    <x v="0"/>
    <s v="group E"/>
    <x v="4"/>
    <x v="0"/>
    <x v="1"/>
    <n v="74"/>
    <n v="79"/>
    <n v="80"/>
    <n v="233"/>
    <n v="77.666666666666671"/>
    <s v="pass"/>
  </r>
  <r>
    <x v="1"/>
    <s v="group B"/>
    <x v="4"/>
    <x v="0"/>
    <x v="0"/>
    <n v="70"/>
    <n v="65"/>
    <n v="60"/>
    <n v="195"/>
    <n v="65"/>
    <s v="pass"/>
  </r>
  <r>
    <x v="0"/>
    <s v="group B"/>
    <x v="0"/>
    <x v="0"/>
    <x v="1"/>
    <n v="65"/>
    <n v="81"/>
    <n v="81"/>
    <n v="227"/>
    <n v="75.666666666666671"/>
    <s v="pass"/>
  </r>
  <r>
    <x v="0"/>
    <s v="group D"/>
    <x v="3"/>
    <x v="0"/>
    <x v="0"/>
    <n v="59"/>
    <n v="70"/>
    <n v="65"/>
    <n v="194"/>
    <n v="64.666666666666671"/>
    <s v="pass"/>
  </r>
  <r>
    <x v="0"/>
    <s v="group E"/>
    <x v="4"/>
    <x v="1"/>
    <x v="0"/>
    <n v="64"/>
    <n v="62"/>
    <n v="68"/>
    <n v="194"/>
    <n v="64.666666666666671"/>
    <s v="pass"/>
  </r>
  <r>
    <x v="0"/>
    <s v="group B"/>
    <x v="4"/>
    <x v="0"/>
    <x v="0"/>
    <n v="50"/>
    <n v="53"/>
    <n v="55"/>
    <n v="158"/>
    <n v="52.666666666666664"/>
    <s v="pass"/>
  </r>
  <r>
    <x v="0"/>
    <s v="group D"/>
    <x v="1"/>
    <x v="0"/>
    <x v="1"/>
    <n v="69"/>
    <n v="79"/>
    <n v="81"/>
    <n v="229"/>
    <n v="76.333333333333329"/>
    <s v="pass"/>
  </r>
  <r>
    <x v="1"/>
    <s v="group C"/>
    <x v="5"/>
    <x v="1"/>
    <x v="1"/>
    <n v="51"/>
    <n v="56"/>
    <n v="53"/>
    <n v="160"/>
    <n v="53.333333333333336"/>
    <s v="pass"/>
  </r>
  <r>
    <x v="0"/>
    <s v="group A"/>
    <x v="4"/>
    <x v="0"/>
    <x v="1"/>
    <n v="68"/>
    <n v="80"/>
    <n v="76"/>
    <n v="224"/>
    <n v="74.666666666666671"/>
    <s v="pass"/>
  </r>
  <r>
    <x v="0"/>
    <s v="group D"/>
    <x v="1"/>
    <x v="0"/>
    <x v="1"/>
    <n v="85"/>
    <n v="86"/>
    <n v="98"/>
    <n v="269"/>
    <n v="89.666666666666671"/>
    <s v="pass"/>
  </r>
  <r>
    <x v="0"/>
    <s v="group A"/>
    <x v="3"/>
    <x v="0"/>
    <x v="1"/>
    <n v="65"/>
    <n v="70"/>
    <n v="74"/>
    <n v="209"/>
    <n v="69.666666666666671"/>
    <s v="pass"/>
  </r>
  <r>
    <x v="0"/>
    <s v="group B"/>
    <x v="5"/>
    <x v="0"/>
    <x v="0"/>
    <n v="73"/>
    <n v="79"/>
    <n v="79"/>
    <n v="231"/>
    <n v="77"/>
    <s v="pass"/>
  </r>
  <r>
    <x v="0"/>
    <s v="group B"/>
    <x v="1"/>
    <x v="0"/>
    <x v="0"/>
    <n v="62"/>
    <n v="67"/>
    <n v="67"/>
    <n v="196"/>
    <n v="65.333333333333329"/>
    <s v="pass"/>
  </r>
  <r>
    <x v="1"/>
    <s v="group C"/>
    <x v="3"/>
    <x v="1"/>
    <x v="0"/>
    <n v="77"/>
    <n v="67"/>
    <n v="64"/>
    <n v="208"/>
    <n v="69.333333333333329"/>
    <s v="pass"/>
  </r>
  <r>
    <x v="1"/>
    <s v="group D"/>
    <x v="5"/>
    <x v="0"/>
    <x v="0"/>
    <n v="69"/>
    <n v="66"/>
    <n v="61"/>
    <n v="196"/>
    <n v="65.333333333333329"/>
    <s v="pass"/>
  </r>
  <r>
    <x v="0"/>
    <s v="group D"/>
    <x v="3"/>
    <x v="1"/>
    <x v="0"/>
    <n v="43"/>
    <n v="60"/>
    <n v="58"/>
    <n v="161"/>
    <n v="53.666666666666664"/>
    <s v="pass"/>
  </r>
  <r>
    <x v="1"/>
    <s v="group D"/>
    <x v="3"/>
    <x v="0"/>
    <x v="0"/>
    <n v="90"/>
    <n v="87"/>
    <n v="85"/>
    <n v="262"/>
    <n v="87.333333333333329"/>
    <s v="pass"/>
  </r>
  <r>
    <x v="1"/>
    <s v="group C"/>
    <x v="1"/>
    <x v="1"/>
    <x v="0"/>
    <n v="74"/>
    <n v="77"/>
    <n v="73"/>
    <n v="224"/>
    <n v="74.666666666666671"/>
    <s v="pass"/>
  </r>
  <r>
    <x v="1"/>
    <s v="group C"/>
    <x v="5"/>
    <x v="0"/>
    <x v="0"/>
    <n v="73"/>
    <n v="66"/>
    <n v="63"/>
    <n v="202"/>
    <n v="67.333333333333329"/>
    <s v="pass"/>
  </r>
  <r>
    <x v="0"/>
    <s v="group D"/>
    <x v="1"/>
    <x v="1"/>
    <x v="0"/>
    <n v="55"/>
    <n v="71"/>
    <n v="69"/>
    <n v="195"/>
    <n v="65"/>
    <s v="pass"/>
  </r>
  <r>
    <x v="0"/>
    <s v="group C"/>
    <x v="4"/>
    <x v="0"/>
    <x v="0"/>
    <n v="65"/>
    <n v="69"/>
    <n v="67"/>
    <n v="201"/>
    <n v="67"/>
    <s v="pass"/>
  </r>
  <r>
    <x v="1"/>
    <s v="group D"/>
    <x v="3"/>
    <x v="0"/>
    <x v="0"/>
    <n v="80"/>
    <n v="63"/>
    <n v="63"/>
    <n v="206"/>
    <n v="68.666666666666671"/>
    <s v="pass"/>
  </r>
  <r>
    <x v="0"/>
    <s v="group C"/>
    <x v="5"/>
    <x v="1"/>
    <x v="1"/>
    <n v="50"/>
    <n v="60"/>
    <n v="60"/>
    <n v="170"/>
    <n v="56.666666666666664"/>
    <s v="pass"/>
  </r>
  <r>
    <x v="0"/>
    <s v="group C"/>
    <x v="1"/>
    <x v="1"/>
    <x v="1"/>
    <n v="63"/>
    <n v="73"/>
    <n v="71"/>
    <n v="207"/>
    <n v="69"/>
    <s v="pass"/>
  </r>
  <r>
    <x v="0"/>
    <s v="group B"/>
    <x v="0"/>
    <x v="1"/>
    <x v="0"/>
    <n v="77"/>
    <n v="85"/>
    <n v="87"/>
    <n v="249"/>
    <n v="83"/>
    <s v="pass"/>
  </r>
  <r>
    <x v="1"/>
    <s v="group C"/>
    <x v="1"/>
    <x v="0"/>
    <x v="0"/>
    <n v="73"/>
    <n v="74"/>
    <n v="61"/>
    <n v="208"/>
    <n v="69.333333333333329"/>
    <s v="pass"/>
  </r>
  <r>
    <x v="1"/>
    <s v="group D"/>
    <x v="3"/>
    <x v="0"/>
    <x v="1"/>
    <n v="81"/>
    <n v="72"/>
    <n v="77"/>
    <n v="230"/>
    <n v="76.666666666666671"/>
    <s v="pass"/>
  </r>
  <r>
    <x v="0"/>
    <s v="group C"/>
    <x v="4"/>
    <x v="1"/>
    <x v="0"/>
    <n v="66"/>
    <n v="76"/>
    <n v="68"/>
    <n v="210"/>
    <n v="70"/>
    <s v="pass"/>
  </r>
  <r>
    <x v="1"/>
    <s v="group D"/>
    <x v="3"/>
    <x v="1"/>
    <x v="0"/>
    <n v="52"/>
    <n v="57"/>
    <n v="50"/>
    <n v="159"/>
    <n v="53"/>
    <s v="pass"/>
  </r>
  <r>
    <x v="0"/>
    <s v="group C"/>
    <x v="1"/>
    <x v="0"/>
    <x v="0"/>
    <n v="69"/>
    <n v="78"/>
    <n v="76"/>
    <n v="223"/>
    <n v="74.333333333333329"/>
    <s v="pass"/>
  </r>
  <r>
    <x v="0"/>
    <s v="group C"/>
    <x v="3"/>
    <x v="0"/>
    <x v="1"/>
    <n v="65"/>
    <n v="84"/>
    <n v="84"/>
    <n v="233"/>
    <n v="77.666666666666671"/>
    <s v="pass"/>
  </r>
  <r>
    <x v="0"/>
    <s v="group D"/>
    <x v="4"/>
    <x v="0"/>
    <x v="1"/>
    <n v="69"/>
    <n v="77"/>
    <n v="78"/>
    <n v="224"/>
    <n v="74.666666666666671"/>
    <s v="pass"/>
  </r>
  <r>
    <x v="0"/>
    <s v="group B"/>
    <x v="1"/>
    <x v="0"/>
    <x v="1"/>
    <n v="50"/>
    <n v="64"/>
    <n v="66"/>
    <n v="180"/>
    <n v="60"/>
    <s v="pass"/>
  </r>
  <r>
    <x v="0"/>
    <s v="group E"/>
    <x v="1"/>
    <x v="0"/>
    <x v="1"/>
    <n v="73"/>
    <n v="78"/>
    <n v="76"/>
    <n v="227"/>
    <n v="75.666666666666671"/>
    <s v="pass"/>
  </r>
  <r>
    <x v="0"/>
    <s v="group C"/>
    <x v="5"/>
    <x v="0"/>
    <x v="1"/>
    <n v="70"/>
    <n v="82"/>
    <n v="76"/>
    <n v="228"/>
    <n v="76"/>
    <s v="pass"/>
  </r>
  <r>
    <x v="1"/>
    <s v="group D"/>
    <x v="3"/>
    <x v="1"/>
    <x v="0"/>
    <n v="81"/>
    <n v="75"/>
    <n v="78"/>
    <n v="234"/>
    <n v="78"/>
    <s v="pass"/>
  </r>
  <r>
    <x v="1"/>
    <s v="group D"/>
    <x v="1"/>
    <x v="1"/>
    <x v="0"/>
    <n v="63"/>
    <n v="61"/>
    <n v="60"/>
    <n v="184"/>
    <n v="61.333333333333336"/>
    <s v="pass"/>
  </r>
  <r>
    <x v="0"/>
    <s v="group D"/>
    <x v="4"/>
    <x v="0"/>
    <x v="0"/>
    <n v="67"/>
    <n v="72"/>
    <n v="74"/>
    <n v="213"/>
    <n v="71"/>
    <s v="pass"/>
  </r>
  <r>
    <x v="1"/>
    <s v="group B"/>
    <x v="4"/>
    <x v="0"/>
    <x v="0"/>
    <n v="60"/>
    <n v="68"/>
    <n v="60"/>
    <n v="188"/>
    <n v="62.666666666666664"/>
    <s v="pass"/>
  </r>
  <r>
    <x v="1"/>
    <s v="group B"/>
    <x v="4"/>
    <x v="0"/>
    <x v="0"/>
    <n v="62"/>
    <n v="55"/>
    <n v="54"/>
    <n v="171"/>
    <n v="57"/>
    <s v="pass"/>
  </r>
  <r>
    <x v="0"/>
    <s v="group C"/>
    <x v="5"/>
    <x v="1"/>
    <x v="1"/>
    <n v="29"/>
    <n v="40"/>
    <n v="44"/>
    <n v="113"/>
    <n v="37.666666666666664"/>
    <s v="fail"/>
  </r>
  <r>
    <x v="1"/>
    <s v="group B"/>
    <x v="1"/>
    <x v="0"/>
    <x v="1"/>
    <n v="62"/>
    <n v="66"/>
    <n v="68"/>
    <n v="196"/>
    <n v="65.333333333333329"/>
    <s v="pass"/>
  </r>
  <r>
    <x v="0"/>
    <s v="group E"/>
    <x v="2"/>
    <x v="0"/>
    <x v="1"/>
    <n v="94"/>
    <n v="99"/>
    <n v="100"/>
    <n v="293"/>
    <n v="97.666666666666671"/>
    <s v="pass"/>
  </r>
  <r>
    <x v="1"/>
    <s v="group E"/>
    <x v="1"/>
    <x v="0"/>
    <x v="1"/>
    <n v="85"/>
    <n v="75"/>
    <n v="68"/>
    <n v="228"/>
    <n v="76"/>
    <s v="pass"/>
  </r>
  <r>
    <x v="1"/>
    <s v="group D"/>
    <x v="3"/>
    <x v="1"/>
    <x v="0"/>
    <n v="77"/>
    <n v="78"/>
    <n v="73"/>
    <n v="228"/>
    <n v="76"/>
    <s v="pass"/>
  </r>
  <r>
    <x v="1"/>
    <s v="group A"/>
    <x v="4"/>
    <x v="1"/>
    <x v="0"/>
    <n v="53"/>
    <n v="58"/>
    <n v="44"/>
    <n v="155"/>
    <n v="51.666666666666664"/>
    <s v="pass"/>
  </r>
  <r>
    <x v="1"/>
    <s v="group E"/>
    <x v="1"/>
    <x v="1"/>
    <x v="0"/>
    <n v="93"/>
    <n v="90"/>
    <n v="83"/>
    <n v="266"/>
    <n v="88.666666666666671"/>
    <s v="pass"/>
  </r>
  <r>
    <x v="0"/>
    <s v="group C"/>
    <x v="3"/>
    <x v="0"/>
    <x v="0"/>
    <n v="49"/>
    <n v="53"/>
    <n v="53"/>
    <n v="155"/>
    <n v="51.666666666666664"/>
    <s v="pass"/>
  </r>
  <r>
    <x v="0"/>
    <s v="group E"/>
    <x v="3"/>
    <x v="1"/>
    <x v="0"/>
    <n v="73"/>
    <n v="76"/>
    <n v="78"/>
    <n v="227"/>
    <n v="75.666666666666671"/>
    <s v="pass"/>
  </r>
  <r>
    <x v="0"/>
    <s v="group C"/>
    <x v="0"/>
    <x v="1"/>
    <x v="1"/>
    <n v="66"/>
    <n v="74"/>
    <n v="81"/>
    <n v="221"/>
    <n v="73.666666666666671"/>
    <s v="pass"/>
  </r>
  <r>
    <x v="0"/>
    <s v="group D"/>
    <x v="3"/>
    <x v="0"/>
    <x v="0"/>
    <n v="77"/>
    <n v="77"/>
    <n v="73"/>
    <n v="227"/>
    <n v="75.666666666666671"/>
    <s v="pass"/>
  </r>
  <r>
    <x v="0"/>
    <s v="group C"/>
    <x v="5"/>
    <x v="0"/>
    <x v="0"/>
    <n v="49"/>
    <n v="63"/>
    <n v="56"/>
    <n v="168"/>
    <n v="56"/>
    <s v="pass"/>
  </r>
  <r>
    <x v="0"/>
    <s v="group D"/>
    <x v="1"/>
    <x v="1"/>
    <x v="0"/>
    <n v="79"/>
    <n v="89"/>
    <n v="86"/>
    <n v="254"/>
    <n v="84.666666666666671"/>
    <s v="pass"/>
  </r>
  <r>
    <x v="0"/>
    <s v="group C"/>
    <x v="3"/>
    <x v="0"/>
    <x v="1"/>
    <n v="75"/>
    <n v="82"/>
    <n v="90"/>
    <n v="247"/>
    <n v="82.333333333333329"/>
    <s v="pass"/>
  </r>
  <r>
    <x v="0"/>
    <s v="group A"/>
    <x v="0"/>
    <x v="0"/>
    <x v="0"/>
    <n v="59"/>
    <n v="72"/>
    <n v="70"/>
    <n v="201"/>
    <n v="67"/>
    <s v="pass"/>
  </r>
  <r>
    <x v="0"/>
    <s v="group D"/>
    <x v="3"/>
    <x v="0"/>
    <x v="1"/>
    <n v="57"/>
    <n v="78"/>
    <n v="79"/>
    <n v="214"/>
    <n v="71.333333333333329"/>
    <s v="pass"/>
  </r>
  <r>
    <x v="1"/>
    <s v="group C"/>
    <x v="4"/>
    <x v="1"/>
    <x v="0"/>
    <n v="66"/>
    <n v="66"/>
    <n v="59"/>
    <n v="191"/>
    <n v="63.666666666666664"/>
    <s v="pass"/>
  </r>
  <r>
    <x v="0"/>
    <s v="group E"/>
    <x v="0"/>
    <x v="0"/>
    <x v="1"/>
    <n v="79"/>
    <n v="81"/>
    <n v="82"/>
    <n v="242"/>
    <n v="80.666666666666671"/>
    <s v="pass"/>
  </r>
  <r>
    <x v="0"/>
    <s v="group B"/>
    <x v="5"/>
    <x v="0"/>
    <x v="0"/>
    <n v="57"/>
    <n v="67"/>
    <n v="72"/>
    <n v="196"/>
    <n v="65.333333333333329"/>
    <s v="pass"/>
  </r>
  <r>
    <x v="1"/>
    <s v="group A"/>
    <x v="0"/>
    <x v="0"/>
    <x v="1"/>
    <n v="87"/>
    <n v="84"/>
    <n v="87"/>
    <n v="258"/>
    <n v="86"/>
    <s v="pass"/>
  </r>
  <r>
    <x v="0"/>
    <s v="group D"/>
    <x v="1"/>
    <x v="0"/>
    <x v="0"/>
    <n v="63"/>
    <n v="64"/>
    <n v="67"/>
    <n v="194"/>
    <n v="64.666666666666671"/>
    <s v="pass"/>
  </r>
  <r>
    <x v="0"/>
    <s v="group B"/>
    <x v="5"/>
    <x v="1"/>
    <x v="1"/>
    <n v="59"/>
    <n v="63"/>
    <n v="64"/>
    <n v="186"/>
    <n v="62"/>
    <s v="pass"/>
  </r>
  <r>
    <x v="1"/>
    <s v="group A"/>
    <x v="0"/>
    <x v="1"/>
    <x v="0"/>
    <n v="62"/>
    <n v="72"/>
    <n v="65"/>
    <n v="199"/>
    <n v="66.333333333333329"/>
    <s v="pass"/>
  </r>
  <r>
    <x v="1"/>
    <s v="group D"/>
    <x v="4"/>
    <x v="0"/>
    <x v="0"/>
    <n v="46"/>
    <n v="34"/>
    <n v="36"/>
    <n v="116"/>
    <n v="38.666666666666664"/>
    <s v="fail"/>
  </r>
  <r>
    <x v="1"/>
    <s v="group C"/>
    <x v="1"/>
    <x v="0"/>
    <x v="0"/>
    <n v="66"/>
    <n v="59"/>
    <n v="52"/>
    <n v="177"/>
    <n v="59"/>
    <s v="pass"/>
  </r>
  <r>
    <x v="1"/>
    <s v="group D"/>
    <x v="4"/>
    <x v="0"/>
    <x v="0"/>
    <n v="89"/>
    <n v="87"/>
    <n v="79"/>
    <n v="255"/>
    <n v="85"/>
    <s v="pass"/>
  </r>
  <r>
    <x v="0"/>
    <s v="group D"/>
    <x v="3"/>
    <x v="1"/>
    <x v="1"/>
    <n v="42"/>
    <n v="61"/>
    <n v="58"/>
    <n v="161"/>
    <n v="53.666666666666664"/>
    <s v="pass"/>
  </r>
  <r>
    <x v="1"/>
    <s v="group C"/>
    <x v="1"/>
    <x v="0"/>
    <x v="1"/>
    <n v="93"/>
    <n v="84"/>
    <n v="90"/>
    <n v="267"/>
    <n v="89"/>
    <s v="pass"/>
  </r>
  <r>
    <x v="0"/>
    <s v="group E"/>
    <x v="5"/>
    <x v="0"/>
    <x v="1"/>
    <n v="80"/>
    <n v="85"/>
    <n v="85"/>
    <n v="250"/>
    <n v="83.333333333333329"/>
    <s v="pass"/>
  </r>
  <r>
    <x v="0"/>
    <s v="group D"/>
    <x v="1"/>
    <x v="0"/>
    <x v="0"/>
    <n v="98"/>
    <n v="100"/>
    <n v="99"/>
    <n v="297"/>
    <n v="99"/>
    <s v="pass"/>
  </r>
  <r>
    <x v="1"/>
    <s v="group D"/>
    <x v="2"/>
    <x v="0"/>
    <x v="0"/>
    <n v="81"/>
    <n v="81"/>
    <n v="84"/>
    <n v="246"/>
    <n v="82"/>
    <s v="pass"/>
  </r>
  <r>
    <x v="0"/>
    <s v="group B"/>
    <x v="5"/>
    <x v="0"/>
    <x v="1"/>
    <n v="60"/>
    <n v="70"/>
    <n v="74"/>
    <n v="204"/>
    <n v="68"/>
    <s v="pass"/>
  </r>
  <r>
    <x v="0"/>
    <s v="group B"/>
    <x v="3"/>
    <x v="1"/>
    <x v="1"/>
    <n v="76"/>
    <n v="94"/>
    <n v="87"/>
    <n v="257"/>
    <n v="85.666666666666671"/>
    <s v="pass"/>
  </r>
  <r>
    <x v="1"/>
    <s v="group C"/>
    <x v="3"/>
    <x v="0"/>
    <x v="1"/>
    <n v="73"/>
    <n v="78"/>
    <n v="72"/>
    <n v="223"/>
    <n v="74.333333333333329"/>
    <s v="pass"/>
  </r>
  <r>
    <x v="0"/>
    <s v="group C"/>
    <x v="3"/>
    <x v="0"/>
    <x v="1"/>
    <n v="96"/>
    <n v="96"/>
    <n v="99"/>
    <n v="291"/>
    <n v="97"/>
    <s v="pass"/>
  </r>
  <r>
    <x v="0"/>
    <s v="group C"/>
    <x v="4"/>
    <x v="0"/>
    <x v="0"/>
    <n v="76"/>
    <n v="76"/>
    <n v="74"/>
    <n v="226"/>
    <n v="75.333333333333329"/>
    <s v="pass"/>
  </r>
  <r>
    <x v="1"/>
    <s v="group E"/>
    <x v="3"/>
    <x v="1"/>
    <x v="1"/>
    <n v="91"/>
    <n v="73"/>
    <n v="80"/>
    <n v="244"/>
    <n v="81.333333333333329"/>
    <s v="pass"/>
  </r>
  <r>
    <x v="0"/>
    <s v="group C"/>
    <x v="1"/>
    <x v="1"/>
    <x v="0"/>
    <n v="62"/>
    <n v="72"/>
    <n v="70"/>
    <n v="204"/>
    <n v="68"/>
    <s v="pass"/>
  </r>
  <r>
    <x v="1"/>
    <s v="group D"/>
    <x v="5"/>
    <x v="1"/>
    <x v="1"/>
    <n v="55"/>
    <n v="59"/>
    <n v="59"/>
    <n v="173"/>
    <n v="57.666666666666664"/>
    <s v="pass"/>
  </r>
  <r>
    <x v="0"/>
    <s v="group B"/>
    <x v="5"/>
    <x v="1"/>
    <x v="1"/>
    <n v="74"/>
    <n v="90"/>
    <n v="88"/>
    <n v="252"/>
    <n v="84"/>
    <s v="pass"/>
  </r>
  <r>
    <x v="1"/>
    <s v="group C"/>
    <x v="4"/>
    <x v="0"/>
    <x v="0"/>
    <n v="50"/>
    <n v="48"/>
    <n v="42"/>
    <n v="140"/>
    <n v="46.666666666666664"/>
    <s v="pass"/>
  </r>
  <r>
    <x v="1"/>
    <s v="group B"/>
    <x v="1"/>
    <x v="0"/>
    <x v="0"/>
    <n v="47"/>
    <n v="43"/>
    <n v="41"/>
    <n v="131"/>
    <n v="43.666666666666664"/>
    <s v="pass"/>
  </r>
  <r>
    <x v="1"/>
    <s v="group E"/>
    <x v="1"/>
    <x v="0"/>
    <x v="1"/>
    <n v="81"/>
    <n v="74"/>
    <n v="71"/>
    <n v="226"/>
    <n v="75.333333333333329"/>
    <s v="pass"/>
  </r>
  <r>
    <x v="0"/>
    <s v="group E"/>
    <x v="3"/>
    <x v="0"/>
    <x v="1"/>
    <n v="65"/>
    <n v="75"/>
    <n v="77"/>
    <n v="217"/>
    <n v="72.333333333333329"/>
    <s v="pass"/>
  </r>
  <r>
    <x v="1"/>
    <s v="group E"/>
    <x v="5"/>
    <x v="0"/>
    <x v="1"/>
    <n v="68"/>
    <n v="51"/>
    <n v="57"/>
    <n v="176"/>
    <n v="58.666666666666664"/>
    <s v="pass"/>
  </r>
  <r>
    <x v="0"/>
    <s v="group D"/>
    <x v="4"/>
    <x v="1"/>
    <x v="0"/>
    <n v="73"/>
    <n v="92"/>
    <n v="84"/>
    <n v="249"/>
    <n v="83"/>
    <s v="pass"/>
  </r>
  <r>
    <x v="1"/>
    <s v="group C"/>
    <x v="1"/>
    <x v="0"/>
    <x v="0"/>
    <n v="53"/>
    <n v="39"/>
    <n v="37"/>
    <n v="129"/>
    <n v="43"/>
    <s v="pass"/>
  </r>
  <r>
    <x v="0"/>
    <s v="group B"/>
    <x v="3"/>
    <x v="1"/>
    <x v="1"/>
    <n v="68"/>
    <n v="77"/>
    <n v="80"/>
    <n v="225"/>
    <n v="75"/>
    <s v="pass"/>
  </r>
  <r>
    <x v="1"/>
    <s v="group A"/>
    <x v="5"/>
    <x v="1"/>
    <x v="0"/>
    <n v="55"/>
    <n v="46"/>
    <n v="43"/>
    <n v="144"/>
    <n v="48"/>
    <s v="pass"/>
  </r>
  <r>
    <x v="0"/>
    <s v="group C"/>
    <x v="1"/>
    <x v="0"/>
    <x v="1"/>
    <n v="87"/>
    <n v="89"/>
    <n v="94"/>
    <n v="270"/>
    <n v="90"/>
    <s v="pass"/>
  </r>
  <r>
    <x v="1"/>
    <s v="group D"/>
    <x v="5"/>
    <x v="0"/>
    <x v="0"/>
    <n v="55"/>
    <n v="47"/>
    <n v="44"/>
    <n v="146"/>
    <n v="48.666666666666664"/>
    <s v="pass"/>
  </r>
  <r>
    <x v="0"/>
    <s v="group E"/>
    <x v="1"/>
    <x v="1"/>
    <x v="0"/>
    <n v="53"/>
    <n v="58"/>
    <n v="57"/>
    <n v="168"/>
    <n v="56"/>
    <s v="pass"/>
  </r>
  <r>
    <x v="1"/>
    <s v="group C"/>
    <x v="2"/>
    <x v="0"/>
    <x v="0"/>
    <n v="67"/>
    <n v="57"/>
    <n v="59"/>
    <n v="183"/>
    <n v="61"/>
    <s v="pass"/>
  </r>
  <r>
    <x v="1"/>
    <s v="group C"/>
    <x v="3"/>
    <x v="0"/>
    <x v="0"/>
    <n v="92"/>
    <n v="79"/>
    <n v="84"/>
    <n v="255"/>
    <n v="85"/>
    <s v="pass"/>
  </r>
  <r>
    <x v="0"/>
    <s v="group B"/>
    <x v="1"/>
    <x v="1"/>
    <x v="1"/>
    <n v="53"/>
    <n v="66"/>
    <n v="73"/>
    <n v="192"/>
    <n v="64"/>
    <s v="pass"/>
  </r>
  <r>
    <x v="1"/>
    <s v="group D"/>
    <x v="3"/>
    <x v="0"/>
    <x v="0"/>
    <n v="81"/>
    <n v="71"/>
    <n v="73"/>
    <n v="225"/>
    <n v="75"/>
    <s v="pass"/>
  </r>
  <r>
    <x v="1"/>
    <s v="group C"/>
    <x v="4"/>
    <x v="1"/>
    <x v="0"/>
    <n v="61"/>
    <n v="60"/>
    <n v="55"/>
    <n v="176"/>
    <n v="58.666666666666664"/>
    <s v="pass"/>
  </r>
  <r>
    <x v="1"/>
    <s v="group D"/>
    <x v="0"/>
    <x v="0"/>
    <x v="0"/>
    <n v="80"/>
    <n v="73"/>
    <n v="72"/>
    <n v="225"/>
    <n v="75"/>
    <s v="pass"/>
  </r>
  <r>
    <x v="0"/>
    <s v="group A"/>
    <x v="3"/>
    <x v="1"/>
    <x v="0"/>
    <n v="37"/>
    <n v="57"/>
    <n v="56"/>
    <n v="150"/>
    <n v="50"/>
    <s v="pass"/>
  </r>
  <r>
    <x v="0"/>
    <s v="group C"/>
    <x v="4"/>
    <x v="0"/>
    <x v="0"/>
    <n v="81"/>
    <n v="84"/>
    <n v="82"/>
    <n v="247"/>
    <n v="82.333333333333329"/>
    <s v="pass"/>
  </r>
  <r>
    <x v="0"/>
    <s v="group C"/>
    <x v="3"/>
    <x v="0"/>
    <x v="1"/>
    <n v="59"/>
    <n v="73"/>
    <n v="72"/>
    <n v="204"/>
    <n v="68"/>
    <s v="pass"/>
  </r>
  <r>
    <x v="1"/>
    <s v="group B"/>
    <x v="1"/>
    <x v="1"/>
    <x v="0"/>
    <n v="55"/>
    <n v="55"/>
    <n v="47"/>
    <n v="157"/>
    <n v="52.333333333333336"/>
    <s v="pass"/>
  </r>
  <r>
    <x v="1"/>
    <s v="group D"/>
    <x v="3"/>
    <x v="0"/>
    <x v="0"/>
    <n v="72"/>
    <n v="79"/>
    <n v="74"/>
    <n v="225"/>
    <n v="75"/>
    <s v="pass"/>
  </r>
  <r>
    <x v="1"/>
    <s v="group D"/>
    <x v="4"/>
    <x v="0"/>
    <x v="0"/>
    <n v="69"/>
    <n v="75"/>
    <n v="71"/>
    <n v="215"/>
    <n v="71.666666666666671"/>
    <s v="pass"/>
  </r>
  <r>
    <x v="1"/>
    <s v="group C"/>
    <x v="1"/>
    <x v="0"/>
    <x v="0"/>
    <n v="69"/>
    <n v="64"/>
    <n v="68"/>
    <n v="201"/>
    <n v="67"/>
    <s v="pass"/>
  </r>
  <r>
    <x v="0"/>
    <s v="group C"/>
    <x v="0"/>
    <x v="1"/>
    <x v="0"/>
    <n v="50"/>
    <n v="60"/>
    <n v="59"/>
    <n v="169"/>
    <n v="56.333333333333336"/>
    <s v="pass"/>
  </r>
  <r>
    <x v="1"/>
    <s v="group B"/>
    <x v="1"/>
    <x v="0"/>
    <x v="1"/>
    <n v="87"/>
    <n v="84"/>
    <n v="86"/>
    <n v="257"/>
    <n v="85.666666666666671"/>
    <s v="pass"/>
  </r>
  <r>
    <x v="1"/>
    <s v="group D"/>
    <x v="5"/>
    <x v="0"/>
    <x v="1"/>
    <n v="71"/>
    <n v="69"/>
    <n v="68"/>
    <n v="208"/>
    <n v="69.333333333333329"/>
    <s v="pass"/>
  </r>
  <r>
    <x v="1"/>
    <s v="group E"/>
    <x v="1"/>
    <x v="0"/>
    <x v="0"/>
    <n v="68"/>
    <n v="72"/>
    <n v="65"/>
    <n v="205"/>
    <n v="68.333333333333329"/>
    <s v="pass"/>
  </r>
  <r>
    <x v="1"/>
    <s v="group C"/>
    <x v="2"/>
    <x v="1"/>
    <x v="1"/>
    <n v="79"/>
    <n v="77"/>
    <n v="75"/>
    <n v="231"/>
    <n v="77"/>
    <s v="pass"/>
  </r>
  <r>
    <x v="0"/>
    <s v="group C"/>
    <x v="5"/>
    <x v="0"/>
    <x v="1"/>
    <n v="77"/>
    <n v="90"/>
    <n v="85"/>
    <n v="252"/>
    <n v="84"/>
    <s v="pass"/>
  </r>
  <r>
    <x v="1"/>
    <s v="group C"/>
    <x v="3"/>
    <x v="1"/>
    <x v="0"/>
    <n v="58"/>
    <n v="55"/>
    <n v="53"/>
    <n v="166"/>
    <n v="55.333333333333336"/>
    <s v="pass"/>
  </r>
  <r>
    <x v="0"/>
    <s v="group E"/>
    <x v="3"/>
    <x v="0"/>
    <x v="0"/>
    <n v="84"/>
    <n v="95"/>
    <n v="92"/>
    <n v="271"/>
    <n v="90.333333333333329"/>
    <s v="pass"/>
  </r>
  <r>
    <x v="1"/>
    <s v="group D"/>
    <x v="1"/>
    <x v="0"/>
    <x v="0"/>
    <n v="55"/>
    <n v="58"/>
    <n v="52"/>
    <n v="165"/>
    <n v="55"/>
    <s v="pass"/>
  </r>
  <r>
    <x v="1"/>
    <s v="group E"/>
    <x v="0"/>
    <x v="1"/>
    <x v="1"/>
    <n v="70"/>
    <n v="68"/>
    <n v="72"/>
    <n v="210"/>
    <n v="70"/>
    <s v="pass"/>
  </r>
  <r>
    <x v="0"/>
    <s v="group D"/>
    <x v="1"/>
    <x v="1"/>
    <x v="1"/>
    <n v="52"/>
    <n v="59"/>
    <n v="65"/>
    <n v="176"/>
    <n v="58.666666666666664"/>
    <s v="pass"/>
  </r>
  <r>
    <x v="1"/>
    <s v="group B"/>
    <x v="1"/>
    <x v="0"/>
    <x v="1"/>
    <n v="69"/>
    <n v="77"/>
    <n v="77"/>
    <n v="223"/>
    <n v="74.333333333333329"/>
    <s v="pass"/>
  </r>
  <r>
    <x v="0"/>
    <s v="group C"/>
    <x v="4"/>
    <x v="1"/>
    <x v="0"/>
    <n v="53"/>
    <n v="72"/>
    <n v="64"/>
    <n v="189"/>
    <n v="63"/>
    <s v="pass"/>
  </r>
  <r>
    <x v="0"/>
    <s v="group D"/>
    <x v="5"/>
    <x v="0"/>
    <x v="0"/>
    <n v="48"/>
    <n v="58"/>
    <n v="54"/>
    <n v="160"/>
    <n v="53.333333333333336"/>
    <s v="pass"/>
  </r>
  <r>
    <x v="1"/>
    <s v="group D"/>
    <x v="5"/>
    <x v="0"/>
    <x v="1"/>
    <n v="78"/>
    <n v="81"/>
    <n v="86"/>
    <n v="245"/>
    <n v="81.666666666666671"/>
    <s v="pass"/>
  </r>
  <r>
    <x v="0"/>
    <s v="group B"/>
    <x v="4"/>
    <x v="0"/>
    <x v="0"/>
    <n v="62"/>
    <n v="62"/>
    <n v="63"/>
    <n v="187"/>
    <n v="62.333333333333336"/>
    <s v="pass"/>
  </r>
  <r>
    <x v="1"/>
    <s v="group D"/>
    <x v="1"/>
    <x v="0"/>
    <x v="0"/>
    <n v="60"/>
    <n v="63"/>
    <n v="59"/>
    <n v="182"/>
    <n v="60.666666666666664"/>
    <s v="pass"/>
  </r>
  <r>
    <x v="0"/>
    <s v="group B"/>
    <x v="4"/>
    <x v="0"/>
    <x v="0"/>
    <n v="74"/>
    <n v="72"/>
    <n v="72"/>
    <n v="218"/>
    <n v="72.666666666666671"/>
    <s v="pass"/>
  </r>
  <r>
    <x v="0"/>
    <s v="group C"/>
    <x v="4"/>
    <x v="0"/>
    <x v="1"/>
    <n v="58"/>
    <n v="75"/>
    <n v="77"/>
    <n v="210"/>
    <n v="70"/>
    <s v="pass"/>
  </r>
  <r>
    <x v="1"/>
    <s v="group B"/>
    <x v="4"/>
    <x v="0"/>
    <x v="1"/>
    <n v="76"/>
    <n v="62"/>
    <n v="60"/>
    <n v="198"/>
    <n v="66"/>
    <s v="pass"/>
  </r>
  <r>
    <x v="0"/>
    <s v="group D"/>
    <x v="5"/>
    <x v="0"/>
    <x v="0"/>
    <n v="68"/>
    <n v="71"/>
    <n v="75"/>
    <n v="214"/>
    <n v="71.333333333333329"/>
    <s v="pass"/>
  </r>
  <r>
    <x v="1"/>
    <s v="group A"/>
    <x v="1"/>
    <x v="1"/>
    <x v="0"/>
    <n v="58"/>
    <n v="60"/>
    <n v="57"/>
    <n v="175"/>
    <n v="58.333333333333336"/>
    <s v="pass"/>
  </r>
  <r>
    <x v="1"/>
    <s v="group B"/>
    <x v="4"/>
    <x v="0"/>
    <x v="0"/>
    <n v="52"/>
    <n v="48"/>
    <n v="49"/>
    <n v="149"/>
    <n v="49.666666666666664"/>
    <s v="pass"/>
  </r>
  <r>
    <x v="1"/>
    <s v="group D"/>
    <x v="0"/>
    <x v="0"/>
    <x v="0"/>
    <n v="75"/>
    <n v="73"/>
    <n v="74"/>
    <n v="222"/>
    <n v="74"/>
    <s v="pass"/>
  </r>
  <r>
    <x v="0"/>
    <s v="group B"/>
    <x v="5"/>
    <x v="1"/>
    <x v="1"/>
    <n v="52"/>
    <n v="67"/>
    <n v="72"/>
    <n v="191"/>
    <n v="63.666666666666664"/>
    <s v="pass"/>
  </r>
  <r>
    <x v="0"/>
    <s v="group C"/>
    <x v="0"/>
    <x v="1"/>
    <x v="0"/>
    <n v="62"/>
    <n v="78"/>
    <n v="79"/>
    <n v="219"/>
    <n v="73"/>
    <s v="pass"/>
  </r>
  <r>
    <x v="1"/>
    <s v="group B"/>
    <x v="1"/>
    <x v="0"/>
    <x v="0"/>
    <n v="66"/>
    <n v="65"/>
    <n v="60"/>
    <n v="191"/>
    <n v="63.666666666666664"/>
    <s v="pass"/>
  </r>
  <r>
    <x v="0"/>
    <s v="group B"/>
    <x v="5"/>
    <x v="1"/>
    <x v="0"/>
    <n v="49"/>
    <n v="58"/>
    <n v="55"/>
    <n v="162"/>
    <n v="54"/>
    <s v="pass"/>
  </r>
  <r>
    <x v="0"/>
    <s v="group B"/>
    <x v="4"/>
    <x v="0"/>
    <x v="0"/>
    <n v="66"/>
    <n v="72"/>
    <n v="70"/>
    <n v="208"/>
    <n v="69.333333333333329"/>
    <s v="pass"/>
  </r>
  <r>
    <x v="0"/>
    <s v="group C"/>
    <x v="1"/>
    <x v="1"/>
    <x v="0"/>
    <n v="35"/>
    <n v="44"/>
    <n v="43"/>
    <n v="122"/>
    <n v="40.666666666666664"/>
    <s v="pass"/>
  </r>
  <r>
    <x v="0"/>
    <s v="group A"/>
    <x v="1"/>
    <x v="0"/>
    <x v="1"/>
    <n v="72"/>
    <n v="79"/>
    <n v="82"/>
    <n v="233"/>
    <n v="77.666666666666671"/>
    <s v="pass"/>
  </r>
  <r>
    <x v="1"/>
    <s v="group E"/>
    <x v="3"/>
    <x v="0"/>
    <x v="1"/>
    <n v="94"/>
    <n v="85"/>
    <n v="82"/>
    <n v="261"/>
    <n v="87"/>
    <s v="pass"/>
  </r>
  <r>
    <x v="0"/>
    <s v="group D"/>
    <x v="3"/>
    <x v="1"/>
    <x v="0"/>
    <n v="46"/>
    <n v="56"/>
    <n v="57"/>
    <n v="159"/>
    <n v="53"/>
    <s v="pass"/>
  </r>
  <r>
    <x v="0"/>
    <s v="group B"/>
    <x v="2"/>
    <x v="0"/>
    <x v="0"/>
    <n v="77"/>
    <n v="90"/>
    <n v="84"/>
    <n v="251"/>
    <n v="83.666666666666671"/>
    <s v="pass"/>
  </r>
  <r>
    <x v="0"/>
    <s v="group B"/>
    <x v="4"/>
    <x v="1"/>
    <x v="1"/>
    <n v="76"/>
    <n v="85"/>
    <n v="82"/>
    <n v="243"/>
    <n v="81"/>
    <s v="pass"/>
  </r>
  <r>
    <x v="0"/>
    <s v="group C"/>
    <x v="3"/>
    <x v="0"/>
    <x v="1"/>
    <n v="52"/>
    <n v="59"/>
    <n v="62"/>
    <n v="173"/>
    <n v="57.666666666666664"/>
    <s v="pass"/>
  </r>
  <r>
    <x v="1"/>
    <s v="group C"/>
    <x v="0"/>
    <x v="0"/>
    <x v="1"/>
    <n v="91"/>
    <n v="81"/>
    <n v="79"/>
    <n v="251"/>
    <n v="83.666666666666671"/>
    <s v="pass"/>
  </r>
  <r>
    <x v="0"/>
    <s v="group B"/>
    <x v="5"/>
    <x v="0"/>
    <x v="1"/>
    <n v="32"/>
    <n v="51"/>
    <n v="44"/>
    <n v="127"/>
    <n v="42.333333333333336"/>
    <s v="pass"/>
  </r>
  <r>
    <x v="0"/>
    <s v="group E"/>
    <x v="5"/>
    <x v="1"/>
    <x v="0"/>
    <n v="72"/>
    <n v="79"/>
    <n v="77"/>
    <n v="228"/>
    <n v="76"/>
    <s v="pass"/>
  </r>
  <r>
    <x v="0"/>
    <s v="group B"/>
    <x v="1"/>
    <x v="0"/>
    <x v="0"/>
    <n v="19"/>
    <n v="38"/>
    <n v="32"/>
    <n v="89"/>
    <n v="29.666666666666668"/>
    <s v="fail"/>
  </r>
  <r>
    <x v="1"/>
    <s v="group C"/>
    <x v="3"/>
    <x v="1"/>
    <x v="0"/>
    <n v="68"/>
    <n v="65"/>
    <n v="61"/>
    <n v="194"/>
    <n v="64.666666666666671"/>
    <s v="pass"/>
  </r>
  <r>
    <x v="0"/>
    <s v="group C"/>
    <x v="2"/>
    <x v="1"/>
    <x v="0"/>
    <n v="52"/>
    <n v="65"/>
    <n v="61"/>
    <n v="178"/>
    <n v="59.333333333333336"/>
    <s v="pass"/>
  </r>
  <r>
    <x v="0"/>
    <s v="group B"/>
    <x v="4"/>
    <x v="0"/>
    <x v="0"/>
    <n v="48"/>
    <n v="62"/>
    <n v="60"/>
    <n v="170"/>
    <n v="56.666666666666664"/>
    <s v="pass"/>
  </r>
  <r>
    <x v="0"/>
    <s v="group D"/>
    <x v="1"/>
    <x v="1"/>
    <x v="0"/>
    <n v="60"/>
    <n v="66"/>
    <n v="70"/>
    <n v="196"/>
    <n v="65.333333333333329"/>
    <s v="pass"/>
  </r>
  <r>
    <x v="1"/>
    <s v="group D"/>
    <x v="4"/>
    <x v="1"/>
    <x v="0"/>
    <n v="66"/>
    <n v="74"/>
    <n v="69"/>
    <n v="209"/>
    <n v="69.666666666666671"/>
    <s v="pass"/>
  </r>
  <r>
    <x v="1"/>
    <s v="group E"/>
    <x v="5"/>
    <x v="0"/>
    <x v="1"/>
    <n v="89"/>
    <n v="84"/>
    <n v="77"/>
    <n v="250"/>
    <n v="83.333333333333329"/>
    <s v="pass"/>
  </r>
  <r>
    <x v="0"/>
    <s v="group B"/>
    <x v="4"/>
    <x v="0"/>
    <x v="0"/>
    <n v="42"/>
    <n v="52"/>
    <n v="51"/>
    <n v="145"/>
    <n v="48.333333333333336"/>
    <s v="pass"/>
  </r>
  <r>
    <x v="0"/>
    <s v="group E"/>
    <x v="3"/>
    <x v="1"/>
    <x v="1"/>
    <n v="57"/>
    <n v="68"/>
    <n v="73"/>
    <n v="198"/>
    <n v="66"/>
    <s v="pass"/>
  </r>
  <r>
    <x v="1"/>
    <s v="group D"/>
    <x v="4"/>
    <x v="0"/>
    <x v="0"/>
    <n v="70"/>
    <n v="70"/>
    <n v="70"/>
    <n v="210"/>
    <n v="70"/>
    <s v="pass"/>
  </r>
  <r>
    <x v="0"/>
    <s v="group E"/>
    <x v="3"/>
    <x v="1"/>
    <x v="0"/>
    <n v="70"/>
    <n v="84"/>
    <n v="81"/>
    <n v="235"/>
    <n v="78.333333333333329"/>
    <s v="pass"/>
  </r>
  <r>
    <x v="1"/>
    <s v="group E"/>
    <x v="1"/>
    <x v="0"/>
    <x v="0"/>
    <n v="69"/>
    <n v="60"/>
    <n v="54"/>
    <n v="183"/>
    <n v="61"/>
    <s v="pass"/>
  </r>
  <r>
    <x v="0"/>
    <s v="group C"/>
    <x v="3"/>
    <x v="0"/>
    <x v="0"/>
    <n v="52"/>
    <n v="55"/>
    <n v="57"/>
    <n v="164"/>
    <n v="54.666666666666664"/>
    <s v="pass"/>
  </r>
  <r>
    <x v="1"/>
    <s v="group C"/>
    <x v="5"/>
    <x v="0"/>
    <x v="1"/>
    <n v="67"/>
    <n v="73"/>
    <n v="68"/>
    <n v="208"/>
    <n v="69.333333333333329"/>
    <s v="pass"/>
  </r>
  <r>
    <x v="1"/>
    <s v="group C"/>
    <x v="5"/>
    <x v="0"/>
    <x v="1"/>
    <n v="76"/>
    <n v="80"/>
    <n v="73"/>
    <n v="229"/>
    <n v="76.333333333333329"/>
    <s v="pass"/>
  </r>
  <r>
    <x v="0"/>
    <s v="group E"/>
    <x v="3"/>
    <x v="0"/>
    <x v="0"/>
    <n v="87"/>
    <n v="94"/>
    <n v="95"/>
    <n v="276"/>
    <n v="92"/>
    <s v="pass"/>
  </r>
  <r>
    <x v="0"/>
    <s v="group B"/>
    <x v="1"/>
    <x v="0"/>
    <x v="0"/>
    <n v="82"/>
    <n v="85"/>
    <n v="87"/>
    <n v="254"/>
    <n v="84.666666666666671"/>
    <s v="pass"/>
  </r>
  <r>
    <x v="0"/>
    <s v="group C"/>
    <x v="1"/>
    <x v="0"/>
    <x v="0"/>
    <n v="73"/>
    <n v="76"/>
    <n v="78"/>
    <n v="227"/>
    <n v="75.666666666666671"/>
    <s v="pass"/>
  </r>
  <r>
    <x v="1"/>
    <s v="group A"/>
    <x v="1"/>
    <x v="1"/>
    <x v="0"/>
    <n v="75"/>
    <n v="81"/>
    <n v="74"/>
    <n v="230"/>
    <n v="76.666666666666671"/>
    <s v="pass"/>
  </r>
  <r>
    <x v="0"/>
    <s v="group D"/>
    <x v="1"/>
    <x v="1"/>
    <x v="0"/>
    <n v="64"/>
    <n v="74"/>
    <n v="75"/>
    <n v="213"/>
    <n v="71"/>
    <s v="pass"/>
  </r>
  <r>
    <x v="0"/>
    <s v="group E"/>
    <x v="4"/>
    <x v="1"/>
    <x v="0"/>
    <n v="41"/>
    <n v="45"/>
    <n v="40"/>
    <n v="126"/>
    <n v="42"/>
    <s v="pass"/>
  </r>
  <r>
    <x v="1"/>
    <s v="group C"/>
    <x v="4"/>
    <x v="0"/>
    <x v="0"/>
    <n v="90"/>
    <n v="75"/>
    <n v="69"/>
    <n v="234"/>
    <n v="78"/>
    <s v="pass"/>
  </r>
  <r>
    <x v="1"/>
    <s v="group B"/>
    <x v="0"/>
    <x v="0"/>
    <x v="0"/>
    <n v="59"/>
    <n v="54"/>
    <n v="51"/>
    <n v="164"/>
    <n v="54.666666666666664"/>
    <s v="pass"/>
  </r>
  <r>
    <x v="1"/>
    <s v="group A"/>
    <x v="5"/>
    <x v="0"/>
    <x v="0"/>
    <n v="51"/>
    <n v="31"/>
    <n v="36"/>
    <n v="118"/>
    <n v="39.333333333333336"/>
    <s v="fail"/>
  </r>
  <r>
    <x v="1"/>
    <s v="group A"/>
    <x v="4"/>
    <x v="1"/>
    <x v="0"/>
    <n v="45"/>
    <n v="47"/>
    <n v="49"/>
    <n v="141"/>
    <n v="47"/>
    <s v="pass"/>
  </r>
  <r>
    <x v="0"/>
    <s v="group C"/>
    <x v="2"/>
    <x v="0"/>
    <x v="1"/>
    <n v="54"/>
    <n v="64"/>
    <n v="67"/>
    <n v="185"/>
    <n v="61.666666666666664"/>
    <s v="pass"/>
  </r>
  <r>
    <x v="1"/>
    <s v="group E"/>
    <x v="5"/>
    <x v="0"/>
    <x v="1"/>
    <n v="87"/>
    <n v="84"/>
    <n v="76"/>
    <n v="247"/>
    <n v="82.333333333333329"/>
    <s v="pass"/>
  </r>
  <r>
    <x v="0"/>
    <s v="group C"/>
    <x v="4"/>
    <x v="0"/>
    <x v="0"/>
    <n v="72"/>
    <n v="80"/>
    <n v="83"/>
    <n v="235"/>
    <n v="78.333333333333329"/>
    <s v="pass"/>
  </r>
  <r>
    <x v="1"/>
    <s v="group B"/>
    <x v="5"/>
    <x v="0"/>
    <x v="1"/>
    <n v="94"/>
    <n v="86"/>
    <n v="87"/>
    <n v="267"/>
    <n v="89"/>
    <s v="pass"/>
  </r>
  <r>
    <x v="0"/>
    <s v="group A"/>
    <x v="0"/>
    <x v="0"/>
    <x v="0"/>
    <n v="45"/>
    <n v="59"/>
    <n v="64"/>
    <n v="168"/>
    <n v="56"/>
    <s v="pass"/>
  </r>
  <r>
    <x v="1"/>
    <s v="group D"/>
    <x v="0"/>
    <x v="1"/>
    <x v="1"/>
    <n v="61"/>
    <n v="70"/>
    <n v="76"/>
    <n v="207"/>
    <n v="69"/>
    <s v="pass"/>
  </r>
  <r>
    <x v="0"/>
    <s v="group B"/>
    <x v="4"/>
    <x v="1"/>
    <x v="0"/>
    <n v="60"/>
    <n v="72"/>
    <n v="68"/>
    <n v="200"/>
    <n v="66.666666666666671"/>
    <s v="pass"/>
  </r>
  <r>
    <x v="0"/>
    <s v="group C"/>
    <x v="5"/>
    <x v="0"/>
    <x v="0"/>
    <n v="77"/>
    <n v="91"/>
    <n v="88"/>
    <n v="256"/>
    <n v="85.333333333333329"/>
    <s v="pass"/>
  </r>
  <r>
    <x v="0"/>
    <s v="group A"/>
    <x v="5"/>
    <x v="0"/>
    <x v="1"/>
    <n v="85"/>
    <n v="90"/>
    <n v="92"/>
    <n v="267"/>
    <n v="89"/>
    <s v="pass"/>
  </r>
  <r>
    <x v="0"/>
    <s v="group D"/>
    <x v="0"/>
    <x v="1"/>
    <x v="0"/>
    <n v="78"/>
    <n v="90"/>
    <n v="93"/>
    <n v="261"/>
    <n v="87"/>
    <s v="pass"/>
  </r>
  <r>
    <x v="1"/>
    <s v="group E"/>
    <x v="1"/>
    <x v="1"/>
    <x v="1"/>
    <n v="49"/>
    <n v="52"/>
    <n v="51"/>
    <n v="152"/>
    <n v="50.666666666666664"/>
    <s v="pass"/>
  </r>
  <r>
    <x v="0"/>
    <s v="group B"/>
    <x v="4"/>
    <x v="1"/>
    <x v="0"/>
    <n v="71"/>
    <n v="87"/>
    <n v="82"/>
    <n v="240"/>
    <n v="80"/>
    <s v="pass"/>
  </r>
  <r>
    <x v="0"/>
    <s v="group C"/>
    <x v="5"/>
    <x v="1"/>
    <x v="0"/>
    <n v="48"/>
    <n v="58"/>
    <n v="52"/>
    <n v="158"/>
    <n v="52.666666666666664"/>
    <s v="pass"/>
  </r>
  <r>
    <x v="1"/>
    <s v="group C"/>
    <x v="4"/>
    <x v="0"/>
    <x v="0"/>
    <n v="62"/>
    <n v="67"/>
    <n v="58"/>
    <n v="187"/>
    <n v="62.333333333333336"/>
    <s v="pass"/>
  </r>
  <r>
    <x v="0"/>
    <s v="group C"/>
    <x v="3"/>
    <x v="1"/>
    <x v="1"/>
    <n v="56"/>
    <n v="68"/>
    <n v="70"/>
    <n v="194"/>
    <n v="64.666666666666671"/>
    <s v="pass"/>
  </r>
  <r>
    <x v="0"/>
    <s v="group C"/>
    <x v="5"/>
    <x v="0"/>
    <x v="0"/>
    <n v="65"/>
    <n v="69"/>
    <n v="76"/>
    <n v="210"/>
    <n v="70"/>
    <s v="pass"/>
  </r>
  <r>
    <x v="0"/>
    <s v="group D"/>
    <x v="5"/>
    <x v="1"/>
    <x v="1"/>
    <n v="69"/>
    <n v="86"/>
    <n v="81"/>
    <n v="236"/>
    <n v="78.666666666666671"/>
    <s v="pass"/>
  </r>
  <r>
    <x v="1"/>
    <s v="group B"/>
    <x v="5"/>
    <x v="0"/>
    <x v="0"/>
    <n v="68"/>
    <n v="54"/>
    <n v="53"/>
    <n v="175"/>
    <n v="58.333333333333336"/>
    <s v="pass"/>
  </r>
  <r>
    <x v="0"/>
    <s v="group A"/>
    <x v="1"/>
    <x v="1"/>
    <x v="0"/>
    <n v="61"/>
    <n v="60"/>
    <n v="57"/>
    <n v="178"/>
    <n v="59.333333333333336"/>
    <s v="pass"/>
  </r>
  <r>
    <x v="0"/>
    <s v="group C"/>
    <x v="0"/>
    <x v="1"/>
    <x v="1"/>
    <n v="74"/>
    <n v="86"/>
    <n v="89"/>
    <n v="249"/>
    <n v="83"/>
    <s v="pass"/>
  </r>
  <r>
    <x v="1"/>
    <s v="group A"/>
    <x v="0"/>
    <x v="0"/>
    <x v="0"/>
    <n v="64"/>
    <n v="60"/>
    <n v="58"/>
    <n v="182"/>
    <n v="60.666666666666664"/>
    <s v="pass"/>
  </r>
  <r>
    <x v="0"/>
    <s v="group B"/>
    <x v="4"/>
    <x v="0"/>
    <x v="1"/>
    <n v="77"/>
    <n v="82"/>
    <n v="89"/>
    <n v="248"/>
    <n v="82.666666666666671"/>
    <s v="pass"/>
  </r>
  <r>
    <x v="1"/>
    <s v="group B"/>
    <x v="1"/>
    <x v="0"/>
    <x v="0"/>
    <n v="58"/>
    <n v="50"/>
    <n v="45"/>
    <n v="153"/>
    <n v="51"/>
    <s v="pass"/>
  </r>
  <r>
    <x v="0"/>
    <s v="group C"/>
    <x v="4"/>
    <x v="0"/>
    <x v="1"/>
    <n v="60"/>
    <n v="64"/>
    <n v="74"/>
    <n v="198"/>
    <n v="66"/>
    <s v="pass"/>
  </r>
  <r>
    <x v="1"/>
    <s v="group E"/>
    <x v="4"/>
    <x v="0"/>
    <x v="0"/>
    <n v="73"/>
    <n v="64"/>
    <n v="57"/>
    <n v="194"/>
    <n v="64.666666666666671"/>
    <s v="pass"/>
  </r>
  <r>
    <x v="0"/>
    <s v="group A"/>
    <x v="4"/>
    <x v="0"/>
    <x v="1"/>
    <n v="75"/>
    <n v="82"/>
    <n v="79"/>
    <n v="236"/>
    <n v="78.666666666666671"/>
    <s v="pass"/>
  </r>
  <r>
    <x v="1"/>
    <s v="group B"/>
    <x v="3"/>
    <x v="1"/>
    <x v="1"/>
    <n v="58"/>
    <n v="57"/>
    <n v="53"/>
    <n v="168"/>
    <n v="56"/>
    <s v="pass"/>
  </r>
  <r>
    <x v="0"/>
    <s v="group C"/>
    <x v="3"/>
    <x v="0"/>
    <x v="0"/>
    <n v="66"/>
    <n v="77"/>
    <n v="73"/>
    <n v="216"/>
    <n v="72"/>
    <s v="pass"/>
  </r>
  <r>
    <x v="0"/>
    <s v="group D"/>
    <x v="4"/>
    <x v="1"/>
    <x v="0"/>
    <n v="39"/>
    <n v="52"/>
    <n v="46"/>
    <n v="137"/>
    <n v="45.666666666666664"/>
    <s v="pass"/>
  </r>
  <r>
    <x v="1"/>
    <s v="group C"/>
    <x v="5"/>
    <x v="0"/>
    <x v="0"/>
    <n v="64"/>
    <n v="58"/>
    <n v="51"/>
    <n v="173"/>
    <n v="57.666666666666664"/>
    <s v="pass"/>
  </r>
  <r>
    <x v="0"/>
    <s v="group B"/>
    <x v="4"/>
    <x v="1"/>
    <x v="1"/>
    <n v="23"/>
    <n v="44"/>
    <n v="36"/>
    <n v="103"/>
    <n v="34.333333333333336"/>
    <s v="fail"/>
  </r>
  <r>
    <x v="1"/>
    <s v="group B"/>
    <x v="1"/>
    <x v="1"/>
    <x v="1"/>
    <n v="74"/>
    <n v="77"/>
    <n v="76"/>
    <n v="227"/>
    <n v="75.666666666666671"/>
    <s v="pass"/>
  </r>
  <r>
    <x v="0"/>
    <s v="group D"/>
    <x v="5"/>
    <x v="1"/>
    <x v="1"/>
    <n v="40"/>
    <n v="65"/>
    <n v="64"/>
    <n v="169"/>
    <n v="56.333333333333336"/>
    <s v="pass"/>
  </r>
  <r>
    <x v="1"/>
    <s v="group E"/>
    <x v="2"/>
    <x v="0"/>
    <x v="0"/>
    <n v="90"/>
    <n v="85"/>
    <n v="84"/>
    <n v="259"/>
    <n v="86.333333333333329"/>
    <s v="pass"/>
  </r>
  <r>
    <x v="1"/>
    <s v="group C"/>
    <x v="2"/>
    <x v="0"/>
    <x v="1"/>
    <n v="91"/>
    <n v="85"/>
    <n v="85"/>
    <n v="261"/>
    <n v="87"/>
    <s v="pass"/>
  </r>
  <r>
    <x v="1"/>
    <s v="group D"/>
    <x v="4"/>
    <x v="0"/>
    <x v="0"/>
    <n v="64"/>
    <n v="54"/>
    <n v="50"/>
    <n v="168"/>
    <n v="56"/>
    <s v="pass"/>
  </r>
  <r>
    <x v="0"/>
    <s v="group C"/>
    <x v="4"/>
    <x v="0"/>
    <x v="0"/>
    <n v="59"/>
    <n v="72"/>
    <n v="68"/>
    <n v="199"/>
    <n v="66.333333333333329"/>
    <s v="pass"/>
  </r>
  <r>
    <x v="1"/>
    <s v="group D"/>
    <x v="3"/>
    <x v="0"/>
    <x v="0"/>
    <n v="80"/>
    <n v="75"/>
    <n v="69"/>
    <n v="224"/>
    <n v="74.666666666666671"/>
    <s v="pass"/>
  </r>
  <r>
    <x v="1"/>
    <s v="group C"/>
    <x v="2"/>
    <x v="0"/>
    <x v="0"/>
    <n v="71"/>
    <n v="67"/>
    <n v="67"/>
    <n v="205"/>
    <n v="68.333333333333329"/>
    <s v="pass"/>
  </r>
  <r>
    <x v="0"/>
    <s v="group A"/>
    <x v="4"/>
    <x v="0"/>
    <x v="0"/>
    <n v="61"/>
    <n v="68"/>
    <n v="63"/>
    <n v="192"/>
    <n v="64"/>
    <s v="pass"/>
  </r>
  <r>
    <x v="0"/>
    <s v="group E"/>
    <x v="1"/>
    <x v="0"/>
    <x v="0"/>
    <n v="87"/>
    <n v="85"/>
    <n v="93"/>
    <n v="265"/>
    <n v="88.333333333333329"/>
    <s v="pass"/>
  </r>
  <r>
    <x v="1"/>
    <s v="group E"/>
    <x v="5"/>
    <x v="0"/>
    <x v="0"/>
    <n v="82"/>
    <n v="67"/>
    <n v="61"/>
    <n v="210"/>
    <n v="70"/>
    <s v="pass"/>
  </r>
  <r>
    <x v="1"/>
    <s v="group C"/>
    <x v="5"/>
    <x v="0"/>
    <x v="0"/>
    <n v="62"/>
    <n v="64"/>
    <n v="55"/>
    <n v="181"/>
    <n v="60.333333333333336"/>
    <s v="pass"/>
  </r>
  <r>
    <x v="0"/>
    <s v="group B"/>
    <x v="0"/>
    <x v="0"/>
    <x v="0"/>
    <n v="97"/>
    <n v="97"/>
    <n v="96"/>
    <n v="290"/>
    <n v="96.666666666666671"/>
    <s v="pass"/>
  </r>
  <r>
    <x v="1"/>
    <s v="group B"/>
    <x v="1"/>
    <x v="1"/>
    <x v="0"/>
    <n v="75"/>
    <n v="68"/>
    <n v="65"/>
    <n v="208"/>
    <n v="69.333333333333329"/>
    <s v="pass"/>
  </r>
  <r>
    <x v="0"/>
    <s v="group C"/>
    <x v="0"/>
    <x v="0"/>
    <x v="0"/>
    <n v="65"/>
    <n v="79"/>
    <n v="81"/>
    <n v="225"/>
    <n v="75"/>
    <s v="pass"/>
  </r>
  <r>
    <x v="1"/>
    <s v="group B"/>
    <x v="4"/>
    <x v="0"/>
    <x v="1"/>
    <n v="52"/>
    <n v="49"/>
    <n v="46"/>
    <n v="147"/>
    <n v="49"/>
    <s v="pass"/>
  </r>
  <r>
    <x v="1"/>
    <s v="group C"/>
    <x v="3"/>
    <x v="1"/>
    <x v="0"/>
    <n v="87"/>
    <n v="73"/>
    <n v="72"/>
    <n v="232"/>
    <n v="77.333333333333329"/>
    <s v="pass"/>
  </r>
  <r>
    <x v="0"/>
    <s v="group C"/>
    <x v="3"/>
    <x v="0"/>
    <x v="0"/>
    <n v="53"/>
    <n v="62"/>
    <n v="53"/>
    <n v="168"/>
    <n v="56"/>
    <s v="pass"/>
  </r>
  <r>
    <x v="0"/>
    <s v="group E"/>
    <x v="2"/>
    <x v="1"/>
    <x v="0"/>
    <n v="81"/>
    <n v="86"/>
    <n v="87"/>
    <n v="254"/>
    <n v="84.666666666666671"/>
    <s v="pass"/>
  </r>
  <r>
    <x v="1"/>
    <s v="group D"/>
    <x v="0"/>
    <x v="1"/>
    <x v="1"/>
    <n v="39"/>
    <n v="42"/>
    <n v="38"/>
    <n v="119"/>
    <n v="39.666666666666664"/>
    <s v="fail"/>
  </r>
  <r>
    <x v="0"/>
    <s v="group C"/>
    <x v="1"/>
    <x v="0"/>
    <x v="1"/>
    <n v="71"/>
    <n v="71"/>
    <n v="80"/>
    <n v="222"/>
    <n v="74"/>
    <s v="pass"/>
  </r>
  <r>
    <x v="1"/>
    <s v="group C"/>
    <x v="3"/>
    <x v="0"/>
    <x v="0"/>
    <n v="97"/>
    <n v="93"/>
    <n v="91"/>
    <n v="281"/>
    <n v="93.666666666666671"/>
    <s v="pass"/>
  </r>
  <r>
    <x v="1"/>
    <s v="group D"/>
    <x v="1"/>
    <x v="0"/>
    <x v="1"/>
    <n v="82"/>
    <n v="82"/>
    <n v="88"/>
    <n v="252"/>
    <n v="84"/>
    <s v="pass"/>
  </r>
  <r>
    <x v="1"/>
    <s v="group C"/>
    <x v="4"/>
    <x v="1"/>
    <x v="0"/>
    <n v="59"/>
    <n v="53"/>
    <n v="52"/>
    <n v="164"/>
    <n v="54.666666666666664"/>
    <s v="pass"/>
  </r>
  <r>
    <x v="1"/>
    <s v="group B"/>
    <x v="3"/>
    <x v="0"/>
    <x v="0"/>
    <n v="61"/>
    <n v="42"/>
    <n v="41"/>
    <n v="144"/>
    <n v="48"/>
    <s v="pass"/>
  </r>
  <r>
    <x v="1"/>
    <s v="group E"/>
    <x v="3"/>
    <x v="1"/>
    <x v="1"/>
    <n v="78"/>
    <n v="74"/>
    <n v="72"/>
    <n v="224"/>
    <n v="74.666666666666671"/>
    <s v="pass"/>
  </r>
  <r>
    <x v="1"/>
    <s v="group C"/>
    <x v="3"/>
    <x v="1"/>
    <x v="0"/>
    <n v="49"/>
    <n v="51"/>
    <n v="51"/>
    <n v="151"/>
    <n v="50.333333333333336"/>
    <s v="pass"/>
  </r>
  <r>
    <x v="1"/>
    <s v="group B"/>
    <x v="4"/>
    <x v="0"/>
    <x v="0"/>
    <n v="59"/>
    <n v="58"/>
    <n v="47"/>
    <n v="164"/>
    <n v="54.666666666666664"/>
    <s v="pass"/>
  </r>
  <r>
    <x v="0"/>
    <s v="group C"/>
    <x v="1"/>
    <x v="0"/>
    <x v="1"/>
    <n v="70"/>
    <n v="72"/>
    <n v="76"/>
    <n v="218"/>
    <n v="72.666666666666671"/>
    <s v="pass"/>
  </r>
  <r>
    <x v="1"/>
    <s v="group B"/>
    <x v="3"/>
    <x v="0"/>
    <x v="1"/>
    <n v="82"/>
    <n v="84"/>
    <n v="78"/>
    <n v="244"/>
    <n v="81.333333333333329"/>
    <s v="pass"/>
  </r>
  <r>
    <x v="1"/>
    <s v="group E"/>
    <x v="3"/>
    <x v="1"/>
    <x v="0"/>
    <n v="90"/>
    <n v="90"/>
    <n v="82"/>
    <n v="262"/>
    <n v="87.333333333333329"/>
    <s v="pass"/>
  </r>
  <r>
    <x v="0"/>
    <s v="group C"/>
    <x v="0"/>
    <x v="1"/>
    <x v="0"/>
    <n v="43"/>
    <n v="62"/>
    <n v="61"/>
    <n v="166"/>
    <n v="55.333333333333336"/>
    <s v="pass"/>
  </r>
  <r>
    <x v="1"/>
    <s v="group C"/>
    <x v="1"/>
    <x v="1"/>
    <x v="0"/>
    <n v="80"/>
    <n v="64"/>
    <n v="66"/>
    <n v="210"/>
    <n v="70"/>
    <s v="pass"/>
  </r>
  <r>
    <x v="1"/>
    <s v="group D"/>
    <x v="1"/>
    <x v="0"/>
    <x v="0"/>
    <n v="81"/>
    <n v="82"/>
    <n v="84"/>
    <n v="247"/>
    <n v="82.333333333333329"/>
    <s v="pass"/>
  </r>
  <r>
    <x v="1"/>
    <s v="group C"/>
    <x v="5"/>
    <x v="0"/>
    <x v="0"/>
    <n v="57"/>
    <n v="61"/>
    <n v="54"/>
    <n v="172"/>
    <n v="57.333333333333336"/>
    <s v="pass"/>
  </r>
  <r>
    <x v="0"/>
    <s v="group D"/>
    <x v="5"/>
    <x v="0"/>
    <x v="0"/>
    <n v="59"/>
    <n v="72"/>
    <n v="80"/>
    <n v="211"/>
    <n v="70.333333333333329"/>
    <s v="pass"/>
  </r>
  <r>
    <x v="0"/>
    <s v="group D"/>
    <x v="3"/>
    <x v="0"/>
    <x v="0"/>
    <n v="64"/>
    <n v="76"/>
    <n v="74"/>
    <n v="214"/>
    <n v="71.333333333333329"/>
    <s v="pass"/>
  </r>
  <r>
    <x v="1"/>
    <s v="group C"/>
    <x v="0"/>
    <x v="0"/>
    <x v="1"/>
    <n v="63"/>
    <n v="64"/>
    <n v="66"/>
    <n v="193"/>
    <n v="64.333333333333329"/>
    <s v="pass"/>
  </r>
  <r>
    <x v="0"/>
    <s v="group E"/>
    <x v="0"/>
    <x v="0"/>
    <x v="1"/>
    <n v="71"/>
    <n v="70"/>
    <n v="70"/>
    <n v="211"/>
    <n v="70.333333333333329"/>
    <s v="pass"/>
  </r>
  <r>
    <x v="0"/>
    <s v="group B"/>
    <x v="4"/>
    <x v="1"/>
    <x v="0"/>
    <n v="64"/>
    <n v="73"/>
    <n v="71"/>
    <n v="208"/>
    <n v="69.333333333333329"/>
    <s v="pass"/>
  </r>
  <r>
    <x v="1"/>
    <s v="group D"/>
    <x v="0"/>
    <x v="1"/>
    <x v="0"/>
    <n v="55"/>
    <n v="46"/>
    <n v="44"/>
    <n v="145"/>
    <n v="48.333333333333336"/>
    <s v="pass"/>
  </r>
  <r>
    <x v="0"/>
    <s v="group E"/>
    <x v="3"/>
    <x v="0"/>
    <x v="0"/>
    <n v="51"/>
    <n v="51"/>
    <n v="54"/>
    <n v="156"/>
    <n v="52"/>
    <s v="pass"/>
  </r>
  <r>
    <x v="0"/>
    <s v="group C"/>
    <x v="3"/>
    <x v="0"/>
    <x v="1"/>
    <n v="62"/>
    <n v="76"/>
    <n v="80"/>
    <n v="218"/>
    <n v="72.666666666666671"/>
    <s v="pass"/>
  </r>
  <r>
    <x v="0"/>
    <s v="group E"/>
    <x v="3"/>
    <x v="0"/>
    <x v="1"/>
    <n v="93"/>
    <n v="100"/>
    <n v="95"/>
    <n v="288"/>
    <n v="96"/>
    <s v="pass"/>
  </r>
  <r>
    <x v="1"/>
    <s v="group C"/>
    <x v="4"/>
    <x v="1"/>
    <x v="0"/>
    <n v="54"/>
    <n v="72"/>
    <n v="59"/>
    <n v="185"/>
    <n v="61.666666666666664"/>
    <s v="pass"/>
  </r>
  <r>
    <x v="0"/>
    <s v="group D"/>
    <x v="1"/>
    <x v="1"/>
    <x v="0"/>
    <n v="69"/>
    <n v="65"/>
    <n v="74"/>
    <n v="208"/>
    <n v="69.333333333333329"/>
    <s v="pass"/>
  </r>
  <r>
    <x v="1"/>
    <s v="group D"/>
    <x v="4"/>
    <x v="1"/>
    <x v="0"/>
    <n v="44"/>
    <n v="51"/>
    <n v="48"/>
    <n v="143"/>
    <n v="47.666666666666664"/>
    <s v="pass"/>
  </r>
  <r>
    <x v="0"/>
    <s v="group E"/>
    <x v="1"/>
    <x v="0"/>
    <x v="1"/>
    <n v="86"/>
    <n v="85"/>
    <n v="91"/>
    <n v="262"/>
    <n v="87.333333333333329"/>
    <s v="pass"/>
  </r>
  <r>
    <x v="0"/>
    <s v="group E"/>
    <x v="3"/>
    <x v="0"/>
    <x v="0"/>
    <n v="85"/>
    <n v="92"/>
    <n v="85"/>
    <n v="262"/>
    <n v="87.333333333333329"/>
    <s v="pass"/>
  </r>
  <r>
    <x v="0"/>
    <s v="group A"/>
    <x v="2"/>
    <x v="1"/>
    <x v="0"/>
    <n v="50"/>
    <n v="67"/>
    <n v="73"/>
    <n v="190"/>
    <n v="63.333333333333336"/>
    <s v="pass"/>
  </r>
  <r>
    <x v="1"/>
    <s v="group D"/>
    <x v="5"/>
    <x v="0"/>
    <x v="1"/>
    <n v="88"/>
    <n v="74"/>
    <n v="75"/>
    <n v="237"/>
    <n v="79"/>
    <s v="pass"/>
  </r>
  <r>
    <x v="0"/>
    <s v="group E"/>
    <x v="3"/>
    <x v="0"/>
    <x v="0"/>
    <n v="59"/>
    <n v="62"/>
    <n v="69"/>
    <n v="190"/>
    <n v="63.333333333333336"/>
    <s v="pass"/>
  </r>
  <r>
    <x v="0"/>
    <s v="group E"/>
    <x v="5"/>
    <x v="1"/>
    <x v="0"/>
    <n v="32"/>
    <n v="34"/>
    <n v="38"/>
    <n v="104"/>
    <n v="34.666666666666664"/>
    <s v="fail"/>
  </r>
  <r>
    <x v="1"/>
    <s v="group B"/>
    <x v="4"/>
    <x v="1"/>
    <x v="0"/>
    <n v="36"/>
    <n v="29"/>
    <n v="27"/>
    <n v="92"/>
    <n v="30.666666666666668"/>
    <s v="fail"/>
  </r>
  <r>
    <x v="0"/>
    <s v="group B"/>
    <x v="5"/>
    <x v="1"/>
    <x v="1"/>
    <n v="63"/>
    <n v="78"/>
    <n v="79"/>
    <n v="220"/>
    <n v="73.333333333333329"/>
    <s v="pass"/>
  </r>
  <r>
    <x v="1"/>
    <s v="group D"/>
    <x v="3"/>
    <x v="0"/>
    <x v="1"/>
    <n v="67"/>
    <n v="54"/>
    <n v="63"/>
    <n v="184"/>
    <n v="61.333333333333336"/>
    <s v="pass"/>
  </r>
  <r>
    <x v="0"/>
    <s v="group D"/>
    <x v="5"/>
    <x v="0"/>
    <x v="1"/>
    <n v="65"/>
    <n v="78"/>
    <n v="82"/>
    <n v="225"/>
    <n v="75"/>
    <s v="pass"/>
  </r>
  <r>
    <x v="1"/>
    <s v="group D"/>
    <x v="2"/>
    <x v="0"/>
    <x v="0"/>
    <n v="85"/>
    <n v="84"/>
    <n v="89"/>
    <n v="258"/>
    <n v="86"/>
    <s v="pass"/>
  </r>
  <r>
    <x v="0"/>
    <s v="group C"/>
    <x v="2"/>
    <x v="0"/>
    <x v="0"/>
    <n v="73"/>
    <n v="78"/>
    <n v="74"/>
    <n v="225"/>
    <n v="75"/>
    <s v="pass"/>
  </r>
  <r>
    <x v="0"/>
    <s v="group A"/>
    <x v="4"/>
    <x v="1"/>
    <x v="1"/>
    <n v="34"/>
    <n v="48"/>
    <n v="41"/>
    <n v="123"/>
    <n v="41"/>
    <s v="pass"/>
  </r>
  <r>
    <x v="0"/>
    <s v="group D"/>
    <x v="0"/>
    <x v="1"/>
    <x v="1"/>
    <n v="93"/>
    <n v="100"/>
    <n v="100"/>
    <n v="293"/>
    <n v="97.666666666666671"/>
    <s v="pass"/>
  </r>
  <r>
    <x v="0"/>
    <s v="group D"/>
    <x v="5"/>
    <x v="1"/>
    <x v="0"/>
    <n v="67"/>
    <n v="84"/>
    <n v="84"/>
    <n v="235"/>
    <n v="78.333333333333329"/>
    <s v="pass"/>
  </r>
  <r>
    <x v="1"/>
    <s v="group D"/>
    <x v="1"/>
    <x v="0"/>
    <x v="0"/>
    <n v="88"/>
    <n v="77"/>
    <n v="77"/>
    <n v="242"/>
    <n v="80.666666666666671"/>
    <s v="pass"/>
  </r>
  <r>
    <x v="1"/>
    <s v="group B"/>
    <x v="4"/>
    <x v="0"/>
    <x v="0"/>
    <n v="57"/>
    <n v="48"/>
    <n v="51"/>
    <n v="156"/>
    <n v="52"/>
    <s v="pass"/>
  </r>
  <r>
    <x v="0"/>
    <s v="group D"/>
    <x v="1"/>
    <x v="0"/>
    <x v="1"/>
    <n v="79"/>
    <n v="84"/>
    <n v="91"/>
    <n v="254"/>
    <n v="84.666666666666671"/>
    <s v="pass"/>
  </r>
  <r>
    <x v="0"/>
    <s v="group C"/>
    <x v="0"/>
    <x v="1"/>
    <x v="0"/>
    <n v="67"/>
    <n v="75"/>
    <n v="72"/>
    <n v="214"/>
    <n v="71.333333333333329"/>
    <s v="pass"/>
  </r>
  <r>
    <x v="1"/>
    <s v="group E"/>
    <x v="0"/>
    <x v="0"/>
    <x v="1"/>
    <n v="70"/>
    <n v="64"/>
    <n v="70"/>
    <n v="204"/>
    <n v="68"/>
    <s v="pass"/>
  </r>
  <r>
    <x v="1"/>
    <s v="group D"/>
    <x v="0"/>
    <x v="1"/>
    <x v="0"/>
    <n v="50"/>
    <n v="42"/>
    <n v="48"/>
    <n v="140"/>
    <n v="46.666666666666664"/>
    <s v="pass"/>
  </r>
  <r>
    <x v="0"/>
    <s v="group A"/>
    <x v="1"/>
    <x v="0"/>
    <x v="0"/>
    <n v="69"/>
    <n v="84"/>
    <n v="82"/>
    <n v="235"/>
    <n v="78.333333333333329"/>
    <s v="pass"/>
  </r>
  <r>
    <x v="0"/>
    <s v="group C"/>
    <x v="0"/>
    <x v="0"/>
    <x v="1"/>
    <n v="52"/>
    <n v="61"/>
    <n v="66"/>
    <n v="179"/>
    <n v="59.666666666666664"/>
    <s v="pass"/>
  </r>
  <r>
    <x v="0"/>
    <s v="group C"/>
    <x v="0"/>
    <x v="1"/>
    <x v="1"/>
    <n v="47"/>
    <n v="62"/>
    <n v="66"/>
    <n v="175"/>
    <n v="58.333333333333336"/>
    <s v="pass"/>
  </r>
  <r>
    <x v="0"/>
    <s v="group B"/>
    <x v="3"/>
    <x v="1"/>
    <x v="0"/>
    <n v="46"/>
    <n v="61"/>
    <n v="55"/>
    <n v="162"/>
    <n v="54"/>
    <s v="pass"/>
  </r>
  <r>
    <x v="0"/>
    <s v="group E"/>
    <x v="1"/>
    <x v="0"/>
    <x v="0"/>
    <n v="68"/>
    <n v="70"/>
    <n v="66"/>
    <n v="204"/>
    <n v="68"/>
    <s v="pass"/>
  </r>
  <r>
    <x v="1"/>
    <s v="group E"/>
    <x v="0"/>
    <x v="0"/>
    <x v="1"/>
    <n v="100"/>
    <n v="100"/>
    <n v="100"/>
    <n v="300"/>
    <n v="100"/>
    <s v="pass"/>
  </r>
  <r>
    <x v="0"/>
    <s v="group C"/>
    <x v="4"/>
    <x v="0"/>
    <x v="0"/>
    <n v="44"/>
    <n v="61"/>
    <n v="52"/>
    <n v="157"/>
    <n v="52.333333333333336"/>
    <s v="pass"/>
  </r>
  <r>
    <x v="0"/>
    <s v="group C"/>
    <x v="3"/>
    <x v="0"/>
    <x v="1"/>
    <n v="57"/>
    <n v="77"/>
    <n v="80"/>
    <n v="214"/>
    <n v="71.333333333333329"/>
    <s v="pass"/>
  </r>
  <r>
    <x v="1"/>
    <s v="group B"/>
    <x v="1"/>
    <x v="0"/>
    <x v="1"/>
    <n v="91"/>
    <n v="96"/>
    <n v="91"/>
    <n v="278"/>
    <n v="92.666666666666671"/>
    <s v="pass"/>
  </r>
  <r>
    <x v="1"/>
    <s v="group D"/>
    <x v="4"/>
    <x v="1"/>
    <x v="0"/>
    <n v="69"/>
    <n v="70"/>
    <n v="67"/>
    <n v="206"/>
    <n v="68.666666666666671"/>
    <s v="pass"/>
  </r>
  <r>
    <x v="0"/>
    <s v="group C"/>
    <x v="4"/>
    <x v="1"/>
    <x v="0"/>
    <n v="35"/>
    <n v="53"/>
    <n v="46"/>
    <n v="134"/>
    <n v="44.666666666666664"/>
    <s v="pass"/>
  </r>
  <r>
    <x v="1"/>
    <s v="group D"/>
    <x v="4"/>
    <x v="0"/>
    <x v="0"/>
    <n v="72"/>
    <n v="66"/>
    <n v="66"/>
    <n v="204"/>
    <n v="68"/>
    <s v="pass"/>
  </r>
  <r>
    <x v="0"/>
    <s v="group B"/>
    <x v="3"/>
    <x v="1"/>
    <x v="0"/>
    <n v="54"/>
    <n v="65"/>
    <n v="65"/>
    <n v="184"/>
    <n v="61.333333333333336"/>
    <s v="pass"/>
  </r>
  <r>
    <x v="1"/>
    <s v="group D"/>
    <x v="4"/>
    <x v="1"/>
    <x v="0"/>
    <n v="74"/>
    <n v="70"/>
    <n v="69"/>
    <n v="213"/>
    <n v="71"/>
    <s v="pass"/>
  </r>
  <r>
    <x v="1"/>
    <s v="group E"/>
    <x v="5"/>
    <x v="0"/>
    <x v="1"/>
    <n v="74"/>
    <n v="64"/>
    <n v="60"/>
    <n v="198"/>
    <n v="66"/>
    <s v="pass"/>
  </r>
  <r>
    <x v="1"/>
    <s v="group E"/>
    <x v="3"/>
    <x v="1"/>
    <x v="0"/>
    <n v="64"/>
    <n v="56"/>
    <n v="52"/>
    <n v="172"/>
    <n v="57.333333333333336"/>
    <s v="pass"/>
  </r>
  <r>
    <x v="0"/>
    <s v="group D"/>
    <x v="4"/>
    <x v="1"/>
    <x v="1"/>
    <n v="65"/>
    <n v="61"/>
    <n v="71"/>
    <n v="197"/>
    <n v="65.666666666666671"/>
    <s v="pass"/>
  </r>
  <r>
    <x v="1"/>
    <s v="group E"/>
    <x v="3"/>
    <x v="1"/>
    <x v="1"/>
    <n v="46"/>
    <n v="43"/>
    <n v="44"/>
    <n v="133"/>
    <n v="44.333333333333336"/>
    <s v="pass"/>
  </r>
  <r>
    <x v="0"/>
    <s v="group C"/>
    <x v="5"/>
    <x v="1"/>
    <x v="0"/>
    <n v="48"/>
    <n v="56"/>
    <n v="51"/>
    <n v="155"/>
    <n v="51.666666666666664"/>
    <s v="pass"/>
  </r>
  <r>
    <x v="1"/>
    <s v="group C"/>
    <x v="1"/>
    <x v="1"/>
    <x v="1"/>
    <n v="67"/>
    <n v="74"/>
    <n v="70"/>
    <n v="211"/>
    <n v="70.333333333333329"/>
    <s v="pass"/>
  </r>
  <r>
    <x v="1"/>
    <s v="group D"/>
    <x v="1"/>
    <x v="1"/>
    <x v="0"/>
    <n v="62"/>
    <n v="57"/>
    <n v="62"/>
    <n v="181"/>
    <n v="60.333333333333336"/>
    <s v="pass"/>
  </r>
  <r>
    <x v="1"/>
    <s v="group D"/>
    <x v="3"/>
    <x v="1"/>
    <x v="1"/>
    <n v="61"/>
    <n v="71"/>
    <n v="73"/>
    <n v="205"/>
    <n v="68.333333333333329"/>
    <s v="pass"/>
  </r>
  <r>
    <x v="1"/>
    <s v="group C"/>
    <x v="0"/>
    <x v="1"/>
    <x v="1"/>
    <n v="70"/>
    <n v="75"/>
    <n v="74"/>
    <n v="219"/>
    <n v="73"/>
    <s v="pass"/>
  </r>
  <r>
    <x v="1"/>
    <s v="group C"/>
    <x v="3"/>
    <x v="0"/>
    <x v="1"/>
    <n v="98"/>
    <n v="87"/>
    <n v="90"/>
    <n v="275"/>
    <n v="91.666666666666671"/>
    <s v="pass"/>
  </r>
  <r>
    <x v="1"/>
    <s v="group D"/>
    <x v="1"/>
    <x v="1"/>
    <x v="0"/>
    <n v="70"/>
    <n v="63"/>
    <n v="58"/>
    <n v="191"/>
    <n v="63.666666666666664"/>
    <s v="pass"/>
  </r>
  <r>
    <x v="1"/>
    <s v="group A"/>
    <x v="3"/>
    <x v="0"/>
    <x v="0"/>
    <n v="67"/>
    <n v="57"/>
    <n v="53"/>
    <n v="177"/>
    <n v="59"/>
    <s v="pass"/>
  </r>
  <r>
    <x v="0"/>
    <s v="group E"/>
    <x v="4"/>
    <x v="1"/>
    <x v="0"/>
    <n v="57"/>
    <n v="58"/>
    <n v="57"/>
    <n v="172"/>
    <n v="57.333333333333336"/>
    <s v="pass"/>
  </r>
  <r>
    <x v="1"/>
    <s v="group D"/>
    <x v="1"/>
    <x v="0"/>
    <x v="1"/>
    <n v="85"/>
    <n v="81"/>
    <n v="85"/>
    <n v="251"/>
    <n v="83.666666666666671"/>
    <s v="pass"/>
  </r>
  <r>
    <x v="1"/>
    <s v="group D"/>
    <x v="5"/>
    <x v="0"/>
    <x v="1"/>
    <n v="77"/>
    <n v="68"/>
    <n v="69"/>
    <n v="214"/>
    <n v="71.333333333333329"/>
    <s v="pass"/>
  </r>
  <r>
    <x v="1"/>
    <s v="group C"/>
    <x v="2"/>
    <x v="1"/>
    <x v="1"/>
    <n v="72"/>
    <n v="66"/>
    <n v="72"/>
    <n v="210"/>
    <n v="70"/>
    <s v="pass"/>
  </r>
  <r>
    <x v="0"/>
    <s v="group D"/>
    <x v="2"/>
    <x v="0"/>
    <x v="0"/>
    <n v="78"/>
    <n v="91"/>
    <n v="96"/>
    <n v="265"/>
    <n v="88.333333333333329"/>
    <s v="pass"/>
  </r>
  <r>
    <x v="1"/>
    <s v="group C"/>
    <x v="4"/>
    <x v="0"/>
    <x v="0"/>
    <n v="81"/>
    <n v="66"/>
    <n v="64"/>
    <n v="211"/>
    <n v="70.333333333333329"/>
    <s v="pass"/>
  </r>
  <r>
    <x v="1"/>
    <s v="group A"/>
    <x v="5"/>
    <x v="1"/>
    <x v="1"/>
    <n v="61"/>
    <n v="62"/>
    <n v="61"/>
    <n v="184"/>
    <n v="61.333333333333336"/>
    <s v="pass"/>
  </r>
  <r>
    <x v="0"/>
    <s v="group B"/>
    <x v="4"/>
    <x v="0"/>
    <x v="0"/>
    <n v="58"/>
    <n v="68"/>
    <n v="61"/>
    <n v="187"/>
    <n v="62.333333333333336"/>
    <s v="pass"/>
  </r>
  <r>
    <x v="0"/>
    <s v="group C"/>
    <x v="3"/>
    <x v="0"/>
    <x v="0"/>
    <n v="54"/>
    <n v="61"/>
    <n v="58"/>
    <n v="173"/>
    <n v="57.666666666666664"/>
    <s v="pass"/>
  </r>
  <r>
    <x v="1"/>
    <s v="group B"/>
    <x v="4"/>
    <x v="0"/>
    <x v="0"/>
    <n v="82"/>
    <n v="82"/>
    <n v="80"/>
    <n v="244"/>
    <n v="81.333333333333329"/>
    <s v="pass"/>
  </r>
  <r>
    <x v="0"/>
    <s v="group D"/>
    <x v="1"/>
    <x v="1"/>
    <x v="0"/>
    <n v="49"/>
    <n v="58"/>
    <n v="60"/>
    <n v="167"/>
    <n v="55.666666666666664"/>
    <s v="pass"/>
  </r>
  <r>
    <x v="1"/>
    <s v="group B"/>
    <x v="5"/>
    <x v="1"/>
    <x v="1"/>
    <n v="49"/>
    <n v="50"/>
    <n v="52"/>
    <n v="151"/>
    <n v="50.333333333333336"/>
    <s v="pass"/>
  </r>
  <r>
    <x v="0"/>
    <s v="group E"/>
    <x v="4"/>
    <x v="1"/>
    <x v="1"/>
    <n v="57"/>
    <n v="75"/>
    <n v="73"/>
    <n v="205"/>
    <n v="68.333333333333329"/>
    <s v="pass"/>
  </r>
  <r>
    <x v="1"/>
    <s v="group E"/>
    <x v="4"/>
    <x v="0"/>
    <x v="0"/>
    <n v="94"/>
    <n v="73"/>
    <n v="71"/>
    <n v="238"/>
    <n v="79.333333333333329"/>
    <s v="pass"/>
  </r>
  <r>
    <x v="0"/>
    <s v="group D"/>
    <x v="1"/>
    <x v="0"/>
    <x v="1"/>
    <n v="75"/>
    <n v="77"/>
    <n v="83"/>
    <n v="235"/>
    <n v="78.333333333333329"/>
    <s v="pass"/>
  </r>
  <r>
    <x v="0"/>
    <s v="group E"/>
    <x v="5"/>
    <x v="1"/>
    <x v="0"/>
    <n v="74"/>
    <n v="74"/>
    <n v="72"/>
    <n v="220"/>
    <n v="73.333333333333329"/>
    <s v="pass"/>
  </r>
  <r>
    <x v="1"/>
    <s v="group C"/>
    <x v="4"/>
    <x v="0"/>
    <x v="1"/>
    <n v="58"/>
    <n v="52"/>
    <n v="54"/>
    <n v="164"/>
    <n v="54.666666666666664"/>
    <s v="pass"/>
  </r>
  <r>
    <x v="0"/>
    <s v="group C"/>
    <x v="1"/>
    <x v="0"/>
    <x v="0"/>
    <n v="62"/>
    <n v="69"/>
    <n v="69"/>
    <n v="200"/>
    <n v="66.666666666666671"/>
    <s v="pass"/>
  </r>
  <r>
    <x v="1"/>
    <s v="group E"/>
    <x v="3"/>
    <x v="0"/>
    <x v="0"/>
    <n v="72"/>
    <n v="57"/>
    <n v="62"/>
    <n v="191"/>
    <n v="63.666666666666664"/>
    <s v="pass"/>
  </r>
  <r>
    <x v="1"/>
    <s v="group C"/>
    <x v="1"/>
    <x v="0"/>
    <x v="0"/>
    <n v="84"/>
    <n v="87"/>
    <n v="81"/>
    <n v="252"/>
    <n v="84"/>
    <s v="pass"/>
  </r>
  <r>
    <x v="0"/>
    <s v="group D"/>
    <x v="2"/>
    <x v="0"/>
    <x v="0"/>
    <n v="92"/>
    <n v="100"/>
    <n v="100"/>
    <n v="292"/>
    <n v="97.333333333333329"/>
    <s v="pass"/>
  </r>
  <r>
    <x v="0"/>
    <s v="group D"/>
    <x v="4"/>
    <x v="0"/>
    <x v="0"/>
    <n v="45"/>
    <n v="63"/>
    <n v="59"/>
    <n v="167"/>
    <n v="55.666666666666664"/>
    <s v="pass"/>
  </r>
  <r>
    <x v="1"/>
    <s v="group C"/>
    <x v="4"/>
    <x v="0"/>
    <x v="0"/>
    <n v="75"/>
    <n v="81"/>
    <n v="71"/>
    <n v="227"/>
    <n v="75.666666666666671"/>
    <s v="pass"/>
  </r>
  <r>
    <x v="0"/>
    <s v="group A"/>
    <x v="1"/>
    <x v="0"/>
    <x v="0"/>
    <n v="56"/>
    <n v="58"/>
    <n v="64"/>
    <n v="178"/>
    <n v="59.333333333333336"/>
    <s v="pass"/>
  </r>
  <r>
    <x v="0"/>
    <s v="group D"/>
    <x v="5"/>
    <x v="1"/>
    <x v="0"/>
    <n v="48"/>
    <n v="54"/>
    <n v="53"/>
    <n v="155"/>
    <n v="51.666666666666664"/>
    <s v="pass"/>
  </r>
  <r>
    <x v="0"/>
    <s v="group E"/>
    <x v="3"/>
    <x v="0"/>
    <x v="0"/>
    <n v="100"/>
    <n v="100"/>
    <n v="100"/>
    <n v="300"/>
    <n v="100"/>
    <s v="pass"/>
  </r>
  <r>
    <x v="0"/>
    <s v="group C"/>
    <x v="5"/>
    <x v="1"/>
    <x v="1"/>
    <n v="65"/>
    <n v="76"/>
    <n v="75"/>
    <n v="216"/>
    <n v="72"/>
    <s v="pass"/>
  </r>
  <r>
    <x v="1"/>
    <s v="group D"/>
    <x v="1"/>
    <x v="0"/>
    <x v="0"/>
    <n v="72"/>
    <n v="57"/>
    <n v="58"/>
    <n v="187"/>
    <n v="62.333333333333336"/>
    <s v="pass"/>
  </r>
  <r>
    <x v="0"/>
    <s v="group D"/>
    <x v="1"/>
    <x v="0"/>
    <x v="0"/>
    <n v="62"/>
    <n v="70"/>
    <n v="72"/>
    <n v="204"/>
    <n v="68"/>
    <s v="pass"/>
  </r>
  <r>
    <x v="1"/>
    <s v="group A"/>
    <x v="5"/>
    <x v="0"/>
    <x v="1"/>
    <n v="66"/>
    <n v="68"/>
    <n v="64"/>
    <n v="198"/>
    <n v="66"/>
    <s v="pass"/>
  </r>
  <r>
    <x v="1"/>
    <s v="group C"/>
    <x v="1"/>
    <x v="0"/>
    <x v="0"/>
    <n v="63"/>
    <n v="63"/>
    <n v="60"/>
    <n v="186"/>
    <n v="62"/>
    <s v="pass"/>
  </r>
  <r>
    <x v="0"/>
    <s v="group E"/>
    <x v="3"/>
    <x v="0"/>
    <x v="0"/>
    <n v="68"/>
    <n v="76"/>
    <n v="67"/>
    <n v="211"/>
    <n v="70.333333333333329"/>
    <s v="pass"/>
  </r>
  <r>
    <x v="0"/>
    <s v="group B"/>
    <x v="0"/>
    <x v="0"/>
    <x v="0"/>
    <n v="75"/>
    <n v="84"/>
    <n v="80"/>
    <n v="239"/>
    <n v="79.666666666666671"/>
    <s v="pass"/>
  </r>
  <r>
    <x v="0"/>
    <s v="group D"/>
    <x v="0"/>
    <x v="0"/>
    <x v="0"/>
    <n v="89"/>
    <n v="100"/>
    <n v="100"/>
    <n v="289"/>
    <n v="96.333333333333329"/>
    <s v="pass"/>
  </r>
  <r>
    <x v="1"/>
    <s v="group C"/>
    <x v="5"/>
    <x v="0"/>
    <x v="1"/>
    <n v="78"/>
    <n v="72"/>
    <n v="69"/>
    <n v="219"/>
    <n v="73"/>
    <s v="pass"/>
  </r>
  <r>
    <x v="0"/>
    <s v="group A"/>
    <x v="4"/>
    <x v="1"/>
    <x v="1"/>
    <n v="53"/>
    <n v="50"/>
    <n v="60"/>
    <n v="163"/>
    <n v="54.333333333333336"/>
    <s v="pass"/>
  </r>
  <r>
    <x v="0"/>
    <s v="group D"/>
    <x v="1"/>
    <x v="1"/>
    <x v="0"/>
    <n v="49"/>
    <n v="65"/>
    <n v="61"/>
    <n v="175"/>
    <n v="58.333333333333336"/>
    <s v="pass"/>
  </r>
  <r>
    <x v="0"/>
    <s v="group A"/>
    <x v="1"/>
    <x v="0"/>
    <x v="0"/>
    <n v="54"/>
    <n v="63"/>
    <n v="67"/>
    <n v="184"/>
    <n v="61.333333333333336"/>
    <s v="pass"/>
  </r>
  <r>
    <x v="0"/>
    <s v="group C"/>
    <x v="1"/>
    <x v="0"/>
    <x v="1"/>
    <n v="64"/>
    <n v="82"/>
    <n v="77"/>
    <n v="223"/>
    <n v="74.333333333333329"/>
    <s v="pass"/>
  </r>
  <r>
    <x v="1"/>
    <s v="group B"/>
    <x v="1"/>
    <x v="1"/>
    <x v="1"/>
    <n v="60"/>
    <n v="62"/>
    <n v="60"/>
    <n v="182"/>
    <n v="60.666666666666664"/>
    <s v="pass"/>
  </r>
  <r>
    <x v="1"/>
    <s v="group C"/>
    <x v="3"/>
    <x v="0"/>
    <x v="0"/>
    <n v="62"/>
    <n v="65"/>
    <n v="58"/>
    <n v="185"/>
    <n v="61.666666666666664"/>
    <s v="pass"/>
  </r>
  <r>
    <x v="1"/>
    <s v="group D"/>
    <x v="4"/>
    <x v="0"/>
    <x v="1"/>
    <n v="55"/>
    <n v="41"/>
    <n v="48"/>
    <n v="144"/>
    <n v="48"/>
    <s v="pass"/>
  </r>
  <r>
    <x v="0"/>
    <s v="group C"/>
    <x v="3"/>
    <x v="0"/>
    <x v="0"/>
    <n v="91"/>
    <n v="95"/>
    <n v="94"/>
    <n v="280"/>
    <n v="93.333333333333329"/>
    <s v="pass"/>
  </r>
  <r>
    <x v="0"/>
    <s v="group B"/>
    <x v="4"/>
    <x v="1"/>
    <x v="0"/>
    <n v="8"/>
    <n v="24"/>
    <n v="23"/>
    <n v="55"/>
    <n v="18.333333333333332"/>
    <s v="fail"/>
  </r>
  <r>
    <x v="1"/>
    <s v="group D"/>
    <x v="5"/>
    <x v="0"/>
    <x v="0"/>
    <n v="81"/>
    <n v="78"/>
    <n v="78"/>
    <n v="237"/>
    <n v="79"/>
    <s v="pass"/>
  </r>
  <r>
    <x v="1"/>
    <s v="group B"/>
    <x v="5"/>
    <x v="0"/>
    <x v="1"/>
    <n v="79"/>
    <n v="85"/>
    <n v="86"/>
    <n v="250"/>
    <n v="83.333333333333329"/>
    <s v="pass"/>
  </r>
  <r>
    <x v="0"/>
    <s v="group A"/>
    <x v="1"/>
    <x v="0"/>
    <x v="1"/>
    <n v="78"/>
    <n v="87"/>
    <n v="91"/>
    <n v="256"/>
    <n v="85.333333333333329"/>
    <s v="pass"/>
  </r>
  <r>
    <x v="0"/>
    <s v="group C"/>
    <x v="5"/>
    <x v="0"/>
    <x v="0"/>
    <n v="74"/>
    <n v="75"/>
    <n v="82"/>
    <n v="231"/>
    <n v="77"/>
    <s v="pass"/>
  </r>
  <r>
    <x v="1"/>
    <s v="group A"/>
    <x v="4"/>
    <x v="0"/>
    <x v="0"/>
    <n v="57"/>
    <n v="51"/>
    <n v="54"/>
    <n v="162"/>
    <n v="54"/>
    <s v="pass"/>
  </r>
  <r>
    <x v="0"/>
    <s v="group C"/>
    <x v="3"/>
    <x v="0"/>
    <x v="0"/>
    <n v="40"/>
    <n v="59"/>
    <n v="51"/>
    <n v="150"/>
    <n v="50"/>
    <s v="pass"/>
  </r>
  <r>
    <x v="1"/>
    <s v="group E"/>
    <x v="5"/>
    <x v="0"/>
    <x v="1"/>
    <n v="81"/>
    <n v="75"/>
    <n v="76"/>
    <n v="232"/>
    <n v="77.333333333333329"/>
    <s v="pass"/>
  </r>
  <r>
    <x v="0"/>
    <s v="group A"/>
    <x v="5"/>
    <x v="1"/>
    <x v="0"/>
    <n v="44"/>
    <n v="45"/>
    <n v="45"/>
    <n v="134"/>
    <n v="44.666666666666664"/>
    <s v="pass"/>
  </r>
  <r>
    <x v="0"/>
    <s v="group D"/>
    <x v="1"/>
    <x v="1"/>
    <x v="1"/>
    <n v="67"/>
    <n v="86"/>
    <n v="83"/>
    <n v="236"/>
    <n v="78.666666666666671"/>
    <s v="pass"/>
  </r>
  <r>
    <x v="1"/>
    <s v="group E"/>
    <x v="4"/>
    <x v="1"/>
    <x v="1"/>
    <n v="86"/>
    <n v="81"/>
    <n v="75"/>
    <n v="242"/>
    <n v="80.666666666666671"/>
    <s v="pass"/>
  </r>
  <r>
    <x v="0"/>
    <s v="group B"/>
    <x v="5"/>
    <x v="0"/>
    <x v="1"/>
    <n v="65"/>
    <n v="82"/>
    <n v="78"/>
    <n v="225"/>
    <n v="75"/>
    <s v="pass"/>
  </r>
  <r>
    <x v="0"/>
    <s v="group D"/>
    <x v="3"/>
    <x v="1"/>
    <x v="0"/>
    <n v="55"/>
    <n v="76"/>
    <n v="76"/>
    <n v="207"/>
    <n v="69"/>
    <s v="pass"/>
  </r>
  <r>
    <x v="0"/>
    <s v="group D"/>
    <x v="0"/>
    <x v="1"/>
    <x v="0"/>
    <n v="62"/>
    <n v="72"/>
    <n v="74"/>
    <n v="208"/>
    <n v="69.333333333333329"/>
    <s v="pass"/>
  </r>
  <r>
    <x v="1"/>
    <s v="group A"/>
    <x v="4"/>
    <x v="0"/>
    <x v="0"/>
    <n v="63"/>
    <n v="63"/>
    <n v="62"/>
    <n v="188"/>
    <n v="62.666666666666664"/>
    <s v="pass"/>
  </r>
  <r>
    <x v="0"/>
    <s v="group E"/>
    <x v="2"/>
    <x v="0"/>
    <x v="1"/>
    <n v="88"/>
    <n v="99"/>
    <n v="95"/>
    <n v="282"/>
    <n v="94"/>
    <s v="pass"/>
  </r>
  <r>
    <x v="1"/>
    <s v="group C"/>
    <x v="4"/>
    <x v="1"/>
    <x v="0"/>
    <n v="62"/>
    <n v="55"/>
    <n v="55"/>
    <n v="172"/>
    <n v="57.333333333333336"/>
    <s v="pass"/>
  </r>
  <r>
    <x v="0"/>
    <s v="group C"/>
    <x v="4"/>
    <x v="1"/>
    <x v="1"/>
    <n v="59"/>
    <n v="71"/>
    <n v="65"/>
    <n v="195"/>
    <n v="65"/>
    <s v="pass"/>
  </r>
  <r>
    <x v="0"/>
    <s v="group D"/>
    <x v="1"/>
    <x v="0"/>
    <x v="1"/>
    <n v="68"/>
    <n v="78"/>
    <n v="77"/>
    <n v="223"/>
    <n v="74.333333333333329"/>
    <s v="pass"/>
  </r>
  <r>
    <x v="0"/>
    <s v="group D"/>
    <x v="1"/>
    <x v="1"/>
    <x v="0"/>
    <n v="77"/>
    <n v="86"/>
    <n v="86"/>
    <n v="249"/>
    <n v="83"/>
    <s v="pas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790919-CF93-427B-ADB4-C385DA7E279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B8" firstHeaderRow="1" firstDataRow="1" firstDataCol="1"/>
  <pivotFields count="11">
    <pivotField showAll="0"/>
    <pivotField showAll="0"/>
    <pivotField axis="axisRow" showAll="0">
      <items count="7">
        <item x="3"/>
        <item x="0"/>
        <item x="4"/>
        <item x="2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average score" fld="9" subtotal="average" baseField="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C5D8CD-18D5-4E76-B23F-2085DECFE74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D4" firstHeaderRow="0" firstDataRow="1" firstDataCol="1"/>
  <pivotFields count="11"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dataField="1" showAll="0"/>
    <pivotField dataField="1" showAll="0"/>
    <pivotField dataField="1"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math score" fld="5" subtotal="average" baseField="4" baseItem="0"/>
    <dataField name="Average of reading score" fld="6" subtotal="average" baseField="4" baseItem="0"/>
    <dataField name="Average of writing score" fld="7" subtotal="average" baseField="4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ED2C53-C3B1-44DF-97B4-F4833400BED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:B4" firstHeaderRow="1" firstDataRow="1" firstDataCol="1"/>
  <pivotFields count="11"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Average of average score" fld="9" subtotal="average" baseField="0" baseItem="0"/>
  </dataFields>
  <chartFormats count="3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215B02-B0D4-42F1-A6E1-804E6435186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1:B4" firstHeaderRow="1" firstDataRow="1" firstDataCol="1"/>
  <pivotFields count="11"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Average of total score" fld="8" subtotal="average" baseField="3" baseItem="0"/>
  </dataFields>
  <chartFormats count="1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BE8C12-5AFB-4F79-B152-4CA994425C18}" name="Table1" displayName="Table1" ref="A1:K1001" totalsRowShown="0">
  <autoFilter ref="A1:K1001" xr:uid="{48BE8C12-5AFB-4F79-B152-4CA994425C18}"/>
  <tableColumns count="11">
    <tableColumn id="1" xr3:uid="{6806843C-E62B-492F-8FE3-A519BE084B67}" name="Gender" dataDxfId="8">
      <calculatedColumnFormula>PROPER(TRIM('raw data'!A2))</calculatedColumnFormula>
    </tableColumn>
    <tableColumn id="2" xr3:uid="{37AF9454-8B96-4D39-9F6C-19D8CEA341B5}" name="Race/ethnicity" dataDxfId="7">
      <calculatedColumnFormula>PROPER(TRIM('raw data'!B2))</calculatedColumnFormula>
    </tableColumn>
    <tableColumn id="3" xr3:uid="{FACBC01F-60F2-4194-BF60-3FC0B5B633F9}" name="Parental level of education" dataDxfId="6">
      <calculatedColumnFormula>PROPER(TRIM('raw data'!C2))</calculatedColumnFormula>
    </tableColumn>
    <tableColumn id="4" xr3:uid="{8BA8B7C2-41FA-45E4-9064-21728FB3270E}" name="Lunch" dataDxfId="5">
      <calculatedColumnFormula>PROPER(TRIM('raw data'!D2))</calculatedColumnFormula>
    </tableColumn>
    <tableColumn id="5" xr3:uid="{FA521D7A-9014-4EAF-90A5-9D9CE694AE2B}" name="Test preparation course" dataDxfId="4">
      <calculatedColumnFormula>PROPER(TRIM('raw data'!E2))</calculatedColumnFormula>
    </tableColumn>
    <tableColumn id="6" xr3:uid="{D67697A7-B404-4130-A683-2D5B000A14E1}" name="Math score" dataDxfId="3"/>
    <tableColumn id="7" xr3:uid="{97DB0205-0366-4BB1-B110-9B33444B6DE5}" name="Reading score" dataDxfId="2"/>
    <tableColumn id="8" xr3:uid="{F4481A1C-47D9-4FBC-9D86-BD4874A1BCF8}" name="Writing score" dataDxfId="1"/>
    <tableColumn id="9" xr3:uid="{54872199-9AAE-490C-918E-143AD47BB3A0}" name="Total score">
      <calculatedColumnFormula>F2+G2+H2</calculatedColumnFormula>
    </tableColumn>
    <tableColumn id="10" xr3:uid="{14AEF829-8648-462B-B877-491345DFE296}" name="Average score">
      <calculatedColumnFormula>I2/3</calculatedColumnFormula>
    </tableColumn>
    <tableColumn id="11" xr3:uid="{777DBAAD-8D72-41CB-A725-B0C842933C6A}" name="Pass/fail status" dataDxfId="0">
      <calculatedColumnFormula>IF(J2&gt;=40,"pass","fail")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0165F-B2B9-4F61-A528-0A52134C831D}">
  <dimension ref="A1:H1001"/>
  <sheetViews>
    <sheetView workbookViewId="0"/>
  </sheetViews>
  <sheetFormatPr defaultRowHeight="15" x14ac:dyDescent="0.25"/>
  <cols>
    <col min="2" max="2" width="13.140625" bestFit="1" customWidth="1"/>
    <col min="3" max="3" width="24.7109375" bestFit="1" customWidth="1"/>
    <col min="4" max="4" width="12.140625" bestFit="1" customWidth="1"/>
    <col min="5" max="5" width="21.85546875" bestFit="1" customWidth="1"/>
    <col min="6" max="6" width="10.85546875" bestFit="1" customWidth="1"/>
    <col min="7" max="7" width="13.140625" bestFit="1" customWidth="1"/>
    <col min="8" max="8" width="12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72</v>
      </c>
      <c r="G2">
        <v>72</v>
      </c>
      <c r="H2">
        <v>74</v>
      </c>
    </row>
    <row r="3" spans="1:8" x14ac:dyDescent="0.25">
      <c r="A3" t="s">
        <v>8</v>
      </c>
      <c r="B3" t="s">
        <v>13</v>
      </c>
      <c r="C3" t="s">
        <v>14</v>
      </c>
      <c r="D3" t="s">
        <v>11</v>
      </c>
      <c r="E3" t="s">
        <v>15</v>
      </c>
      <c r="F3">
        <v>69</v>
      </c>
      <c r="G3">
        <v>90</v>
      </c>
      <c r="H3">
        <v>88</v>
      </c>
    </row>
    <row r="4" spans="1:8" x14ac:dyDescent="0.25">
      <c r="A4" t="s">
        <v>8</v>
      </c>
      <c r="B4" t="s">
        <v>9</v>
      </c>
      <c r="C4" t="s">
        <v>16</v>
      </c>
      <c r="D4" t="s">
        <v>11</v>
      </c>
      <c r="E4" t="s">
        <v>12</v>
      </c>
      <c r="F4">
        <v>90</v>
      </c>
      <c r="G4">
        <v>95</v>
      </c>
      <c r="H4">
        <v>93</v>
      </c>
    </row>
    <row r="5" spans="1:8" x14ac:dyDescent="0.25">
      <c r="A5" t="s">
        <v>17</v>
      </c>
      <c r="B5" t="s">
        <v>18</v>
      </c>
      <c r="C5" t="s">
        <v>19</v>
      </c>
      <c r="D5" t="s">
        <v>20</v>
      </c>
      <c r="E5" t="s">
        <v>12</v>
      </c>
      <c r="F5">
        <v>47</v>
      </c>
      <c r="G5">
        <v>57</v>
      </c>
      <c r="H5">
        <v>44</v>
      </c>
    </row>
    <row r="6" spans="1:8" x14ac:dyDescent="0.25">
      <c r="A6" t="s">
        <v>17</v>
      </c>
      <c r="B6" t="s">
        <v>13</v>
      </c>
      <c r="C6" t="s">
        <v>14</v>
      </c>
      <c r="D6" t="s">
        <v>11</v>
      </c>
      <c r="E6" t="s">
        <v>12</v>
      </c>
      <c r="F6">
        <v>76</v>
      </c>
      <c r="G6">
        <v>78</v>
      </c>
      <c r="H6">
        <v>75</v>
      </c>
    </row>
    <row r="7" spans="1:8" x14ac:dyDescent="0.25">
      <c r="A7" t="s">
        <v>8</v>
      </c>
      <c r="B7" t="s">
        <v>9</v>
      </c>
      <c r="C7" t="s">
        <v>19</v>
      </c>
      <c r="D7" t="s">
        <v>11</v>
      </c>
      <c r="E7" t="s">
        <v>12</v>
      </c>
      <c r="F7">
        <v>71</v>
      </c>
      <c r="G7">
        <v>83</v>
      </c>
      <c r="H7">
        <v>78</v>
      </c>
    </row>
    <row r="8" spans="1:8" x14ac:dyDescent="0.25">
      <c r="A8" t="s">
        <v>8</v>
      </c>
      <c r="B8" t="s">
        <v>9</v>
      </c>
      <c r="C8" t="s">
        <v>14</v>
      </c>
      <c r="D8" t="s">
        <v>11</v>
      </c>
      <c r="E8" t="s">
        <v>15</v>
      </c>
      <c r="F8">
        <v>88</v>
      </c>
      <c r="G8">
        <v>95</v>
      </c>
      <c r="H8">
        <v>92</v>
      </c>
    </row>
    <row r="9" spans="1:8" x14ac:dyDescent="0.25">
      <c r="A9" t="s">
        <v>17</v>
      </c>
      <c r="B9" t="s">
        <v>9</v>
      </c>
      <c r="C9" t="s">
        <v>14</v>
      </c>
      <c r="D9" t="s">
        <v>20</v>
      </c>
      <c r="E9" t="s">
        <v>12</v>
      </c>
      <c r="F9">
        <v>40</v>
      </c>
      <c r="G9">
        <v>43</v>
      </c>
      <c r="H9">
        <v>39</v>
      </c>
    </row>
    <row r="10" spans="1:8" x14ac:dyDescent="0.25">
      <c r="A10" t="s">
        <v>17</v>
      </c>
      <c r="B10" t="s">
        <v>21</v>
      </c>
      <c r="C10" t="s">
        <v>22</v>
      </c>
      <c r="D10" t="s">
        <v>20</v>
      </c>
      <c r="E10" t="s">
        <v>15</v>
      </c>
      <c r="F10">
        <v>64</v>
      </c>
      <c r="G10">
        <v>64</v>
      </c>
      <c r="H10">
        <v>67</v>
      </c>
    </row>
    <row r="11" spans="1:8" x14ac:dyDescent="0.25">
      <c r="A11" t="s">
        <v>8</v>
      </c>
      <c r="B11" t="s">
        <v>9</v>
      </c>
      <c r="C11" t="s">
        <v>22</v>
      </c>
      <c r="D11" t="s">
        <v>20</v>
      </c>
      <c r="E11" t="s">
        <v>12</v>
      </c>
      <c r="F11">
        <v>38</v>
      </c>
      <c r="G11">
        <v>60</v>
      </c>
      <c r="H11">
        <v>50</v>
      </c>
    </row>
    <row r="12" spans="1:8" x14ac:dyDescent="0.25">
      <c r="A12" t="s">
        <v>17</v>
      </c>
      <c r="B12" t="s">
        <v>13</v>
      </c>
      <c r="C12" t="s">
        <v>19</v>
      </c>
      <c r="D12" t="s">
        <v>11</v>
      </c>
      <c r="E12" t="s">
        <v>12</v>
      </c>
      <c r="F12">
        <v>58</v>
      </c>
      <c r="G12">
        <v>54</v>
      </c>
      <c r="H12">
        <v>52</v>
      </c>
    </row>
    <row r="13" spans="1:8" x14ac:dyDescent="0.25">
      <c r="A13" t="s">
        <v>17</v>
      </c>
      <c r="B13" t="s">
        <v>21</v>
      </c>
      <c r="C13" t="s">
        <v>19</v>
      </c>
      <c r="D13" t="s">
        <v>11</v>
      </c>
      <c r="E13" t="s">
        <v>12</v>
      </c>
      <c r="F13">
        <v>40</v>
      </c>
      <c r="G13">
        <v>52</v>
      </c>
      <c r="H13">
        <v>43</v>
      </c>
    </row>
    <row r="14" spans="1:8" x14ac:dyDescent="0.25">
      <c r="A14" t="s">
        <v>8</v>
      </c>
      <c r="B14" t="s">
        <v>9</v>
      </c>
      <c r="C14" t="s">
        <v>22</v>
      </c>
      <c r="D14" t="s">
        <v>11</v>
      </c>
      <c r="E14" t="s">
        <v>12</v>
      </c>
      <c r="F14">
        <v>65</v>
      </c>
      <c r="G14">
        <v>81</v>
      </c>
      <c r="H14">
        <v>73</v>
      </c>
    </row>
    <row r="15" spans="1:8" x14ac:dyDescent="0.25">
      <c r="A15" t="s">
        <v>17</v>
      </c>
      <c r="B15" t="s">
        <v>18</v>
      </c>
      <c r="C15" t="s">
        <v>14</v>
      </c>
      <c r="D15" t="s">
        <v>11</v>
      </c>
      <c r="E15" t="s">
        <v>15</v>
      </c>
      <c r="F15">
        <v>78</v>
      </c>
      <c r="G15">
        <v>72</v>
      </c>
      <c r="H15">
        <v>70</v>
      </c>
    </row>
    <row r="16" spans="1:8" x14ac:dyDescent="0.25">
      <c r="A16" t="s">
        <v>8</v>
      </c>
      <c r="B16" t="s">
        <v>18</v>
      </c>
      <c r="C16" t="s">
        <v>16</v>
      </c>
      <c r="D16" t="s">
        <v>11</v>
      </c>
      <c r="E16" t="s">
        <v>12</v>
      </c>
      <c r="F16">
        <v>50</v>
      </c>
      <c r="G16">
        <v>53</v>
      </c>
      <c r="H16">
        <v>58</v>
      </c>
    </row>
    <row r="17" spans="1:8" x14ac:dyDescent="0.25">
      <c r="A17" t="s">
        <v>8</v>
      </c>
      <c r="B17" t="s">
        <v>13</v>
      </c>
      <c r="C17" t="s">
        <v>23</v>
      </c>
      <c r="D17" t="s">
        <v>11</v>
      </c>
      <c r="E17" t="s">
        <v>12</v>
      </c>
      <c r="F17">
        <v>69</v>
      </c>
      <c r="G17">
        <v>75</v>
      </c>
      <c r="H17">
        <v>78</v>
      </c>
    </row>
    <row r="18" spans="1:8" x14ac:dyDescent="0.25">
      <c r="A18" t="s">
        <v>17</v>
      </c>
      <c r="B18" t="s">
        <v>13</v>
      </c>
      <c r="C18" t="s">
        <v>22</v>
      </c>
      <c r="D18" t="s">
        <v>11</v>
      </c>
      <c r="E18" t="s">
        <v>12</v>
      </c>
      <c r="F18">
        <v>88</v>
      </c>
      <c r="G18">
        <v>89</v>
      </c>
      <c r="H18">
        <v>86</v>
      </c>
    </row>
    <row r="19" spans="1:8" x14ac:dyDescent="0.25">
      <c r="A19" t="s">
        <v>8</v>
      </c>
      <c r="B19" t="s">
        <v>9</v>
      </c>
      <c r="C19" t="s">
        <v>23</v>
      </c>
      <c r="D19" t="s">
        <v>20</v>
      </c>
      <c r="E19" t="s">
        <v>12</v>
      </c>
      <c r="F19">
        <v>18</v>
      </c>
      <c r="G19">
        <v>32</v>
      </c>
      <c r="H19">
        <v>28</v>
      </c>
    </row>
    <row r="20" spans="1:8" x14ac:dyDescent="0.25">
      <c r="A20" t="s">
        <v>17</v>
      </c>
      <c r="B20" t="s">
        <v>13</v>
      </c>
      <c r="C20" t="s">
        <v>16</v>
      </c>
      <c r="D20" t="s">
        <v>20</v>
      </c>
      <c r="E20" t="s">
        <v>15</v>
      </c>
      <c r="F20">
        <v>46</v>
      </c>
      <c r="G20">
        <v>42</v>
      </c>
      <c r="H20">
        <v>46</v>
      </c>
    </row>
    <row r="21" spans="1:8" x14ac:dyDescent="0.25">
      <c r="A21" t="s">
        <v>8</v>
      </c>
      <c r="B21" t="s">
        <v>13</v>
      </c>
      <c r="C21" t="s">
        <v>19</v>
      </c>
      <c r="D21" t="s">
        <v>20</v>
      </c>
      <c r="E21" t="s">
        <v>12</v>
      </c>
      <c r="F21">
        <v>54</v>
      </c>
      <c r="G21">
        <v>58</v>
      </c>
      <c r="H21">
        <v>61</v>
      </c>
    </row>
    <row r="22" spans="1:8" x14ac:dyDescent="0.25">
      <c r="A22" t="s">
        <v>17</v>
      </c>
      <c r="B22" t="s">
        <v>21</v>
      </c>
      <c r="C22" t="s">
        <v>22</v>
      </c>
      <c r="D22" t="s">
        <v>11</v>
      </c>
      <c r="E22" t="s">
        <v>12</v>
      </c>
      <c r="F22">
        <v>66</v>
      </c>
      <c r="G22">
        <v>69</v>
      </c>
      <c r="H22">
        <v>63</v>
      </c>
    </row>
    <row r="23" spans="1:8" x14ac:dyDescent="0.25">
      <c r="A23" t="s">
        <v>8</v>
      </c>
      <c r="B23" t="s">
        <v>9</v>
      </c>
      <c r="C23" t="s">
        <v>14</v>
      </c>
      <c r="D23" t="s">
        <v>20</v>
      </c>
      <c r="E23" t="s">
        <v>15</v>
      </c>
      <c r="F23">
        <v>65</v>
      </c>
      <c r="G23">
        <v>75</v>
      </c>
      <c r="H23">
        <v>70</v>
      </c>
    </row>
    <row r="24" spans="1:8" x14ac:dyDescent="0.25">
      <c r="A24" t="s">
        <v>17</v>
      </c>
      <c r="B24" t="s">
        <v>21</v>
      </c>
      <c r="C24" t="s">
        <v>14</v>
      </c>
      <c r="D24" t="s">
        <v>11</v>
      </c>
      <c r="E24" t="s">
        <v>12</v>
      </c>
      <c r="F24">
        <v>44</v>
      </c>
      <c r="G24">
        <v>54</v>
      </c>
      <c r="H24">
        <v>53</v>
      </c>
    </row>
    <row r="25" spans="1:8" x14ac:dyDescent="0.25">
      <c r="A25" t="s">
        <v>8</v>
      </c>
      <c r="B25" t="s">
        <v>13</v>
      </c>
      <c r="C25" t="s">
        <v>23</v>
      </c>
      <c r="D25" t="s">
        <v>11</v>
      </c>
      <c r="E25" t="s">
        <v>12</v>
      </c>
      <c r="F25">
        <v>69</v>
      </c>
      <c r="G25">
        <v>73</v>
      </c>
      <c r="H25">
        <v>73</v>
      </c>
    </row>
    <row r="26" spans="1:8" x14ac:dyDescent="0.25">
      <c r="A26" t="s">
        <v>17</v>
      </c>
      <c r="B26" t="s">
        <v>21</v>
      </c>
      <c r="C26" t="s">
        <v>10</v>
      </c>
      <c r="D26" t="s">
        <v>20</v>
      </c>
      <c r="E26" t="s">
        <v>15</v>
      </c>
      <c r="F26">
        <v>74</v>
      </c>
      <c r="G26">
        <v>71</v>
      </c>
      <c r="H26">
        <v>80</v>
      </c>
    </row>
    <row r="27" spans="1:8" x14ac:dyDescent="0.25">
      <c r="A27" t="s">
        <v>17</v>
      </c>
      <c r="B27" t="s">
        <v>18</v>
      </c>
      <c r="C27" t="s">
        <v>16</v>
      </c>
      <c r="D27" t="s">
        <v>20</v>
      </c>
      <c r="E27" t="s">
        <v>12</v>
      </c>
      <c r="F27">
        <v>73</v>
      </c>
      <c r="G27">
        <v>74</v>
      </c>
      <c r="H27">
        <v>72</v>
      </c>
    </row>
    <row r="28" spans="1:8" x14ac:dyDescent="0.25">
      <c r="A28" t="s">
        <v>17</v>
      </c>
      <c r="B28" t="s">
        <v>9</v>
      </c>
      <c r="C28" t="s">
        <v>14</v>
      </c>
      <c r="D28" t="s">
        <v>11</v>
      </c>
      <c r="E28" t="s">
        <v>12</v>
      </c>
      <c r="F28">
        <v>69</v>
      </c>
      <c r="G28">
        <v>54</v>
      </c>
      <c r="H28">
        <v>55</v>
      </c>
    </row>
    <row r="29" spans="1:8" x14ac:dyDescent="0.25">
      <c r="A29" t="s">
        <v>8</v>
      </c>
      <c r="B29" t="s">
        <v>13</v>
      </c>
      <c r="C29" t="s">
        <v>10</v>
      </c>
      <c r="D29" t="s">
        <v>11</v>
      </c>
      <c r="E29" t="s">
        <v>12</v>
      </c>
      <c r="F29">
        <v>67</v>
      </c>
      <c r="G29">
        <v>69</v>
      </c>
      <c r="H29">
        <v>75</v>
      </c>
    </row>
    <row r="30" spans="1:8" x14ac:dyDescent="0.25">
      <c r="A30" t="s">
        <v>17</v>
      </c>
      <c r="B30" t="s">
        <v>13</v>
      </c>
      <c r="C30" t="s">
        <v>22</v>
      </c>
      <c r="D30" t="s">
        <v>11</v>
      </c>
      <c r="E30" t="s">
        <v>12</v>
      </c>
      <c r="F30">
        <v>70</v>
      </c>
      <c r="G30">
        <v>70</v>
      </c>
      <c r="H30">
        <v>65</v>
      </c>
    </row>
    <row r="31" spans="1:8" x14ac:dyDescent="0.25">
      <c r="A31" t="s">
        <v>8</v>
      </c>
      <c r="B31" t="s">
        <v>21</v>
      </c>
      <c r="C31" t="s">
        <v>16</v>
      </c>
      <c r="D31" t="s">
        <v>11</v>
      </c>
      <c r="E31" t="s">
        <v>12</v>
      </c>
      <c r="F31">
        <v>62</v>
      </c>
      <c r="G31">
        <v>70</v>
      </c>
      <c r="H31">
        <v>75</v>
      </c>
    </row>
    <row r="32" spans="1:8" x14ac:dyDescent="0.25">
      <c r="A32" t="s">
        <v>8</v>
      </c>
      <c r="B32" t="s">
        <v>21</v>
      </c>
      <c r="C32" t="s">
        <v>14</v>
      </c>
      <c r="D32" t="s">
        <v>11</v>
      </c>
      <c r="E32" t="s">
        <v>12</v>
      </c>
      <c r="F32">
        <v>69</v>
      </c>
      <c r="G32">
        <v>74</v>
      </c>
      <c r="H32">
        <v>74</v>
      </c>
    </row>
    <row r="33" spans="1:8" x14ac:dyDescent="0.25">
      <c r="A33" t="s">
        <v>8</v>
      </c>
      <c r="B33" t="s">
        <v>9</v>
      </c>
      <c r="C33" t="s">
        <v>14</v>
      </c>
      <c r="D33" t="s">
        <v>11</v>
      </c>
      <c r="E33" t="s">
        <v>12</v>
      </c>
      <c r="F33">
        <v>63</v>
      </c>
      <c r="G33">
        <v>65</v>
      </c>
      <c r="H33">
        <v>61</v>
      </c>
    </row>
    <row r="34" spans="1:8" x14ac:dyDescent="0.25">
      <c r="A34" t="s">
        <v>8</v>
      </c>
      <c r="B34" t="s">
        <v>24</v>
      </c>
      <c r="C34" t="s">
        <v>16</v>
      </c>
      <c r="D34" t="s">
        <v>20</v>
      </c>
      <c r="E34" t="s">
        <v>12</v>
      </c>
      <c r="F34">
        <v>56</v>
      </c>
      <c r="G34">
        <v>72</v>
      </c>
      <c r="H34">
        <v>65</v>
      </c>
    </row>
    <row r="35" spans="1:8" x14ac:dyDescent="0.25">
      <c r="A35" t="s">
        <v>17</v>
      </c>
      <c r="B35" t="s">
        <v>21</v>
      </c>
      <c r="C35" t="s">
        <v>14</v>
      </c>
      <c r="D35" t="s">
        <v>11</v>
      </c>
      <c r="E35" t="s">
        <v>12</v>
      </c>
      <c r="F35">
        <v>40</v>
      </c>
      <c r="G35">
        <v>42</v>
      </c>
      <c r="H35">
        <v>38</v>
      </c>
    </row>
    <row r="36" spans="1:8" x14ac:dyDescent="0.25">
      <c r="A36" t="s">
        <v>17</v>
      </c>
      <c r="B36" t="s">
        <v>24</v>
      </c>
      <c r="C36" t="s">
        <v>14</v>
      </c>
      <c r="D36" t="s">
        <v>11</v>
      </c>
      <c r="E36" t="s">
        <v>12</v>
      </c>
      <c r="F36">
        <v>97</v>
      </c>
      <c r="G36">
        <v>87</v>
      </c>
      <c r="H36">
        <v>82</v>
      </c>
    </row>
    <row r="37" spans="1:8" x14ac:dyDescent="0.25">
      <c r="A37" t="s">
        <v>17</v>
      </c>
      <c r="B37" t="s">
        <v>24</v>
      </c>
      <c r="C37" t="s">
        <v>19</v>
      </c>
      <c r="D37" t="s">
        <v>11</v>
      </c>
      <c r="E37" t="s">
        <v>15</v>
      </c>
      <c r="F37">
        <v>81</v>
      </c>
      <c r="G37">
        <v>81</v>
      </c>
      <c r="H37">
        <v>79</v>
      </c>
    </row>
    <row r="38" spans="1:8" x14ac:dyDescent="0.25">
      <c r="A38" t="s">
        <v>8</v>
      </c>
      <c r="B38" t="s">
        <v>21</v>
      </c>
      <c r="C38" t="s">
        <v>19</v>
      </c>
      <c r="D38" t="s">
        <v>11</v>
      </c>
      <c r="E38" t="s">
        <v>12</v>
      </c>
      <c r="F38">
        <v>74</v>
      </c>
      <c r="G38">
        <v>81</v>
      </c>
      <c r="H38">
        <v>83</v>
      </c>
    </row>
    <row r="39" spans="1:8" x14ac:dyDescent="0.25">
      <c r="A39" t="s">
        <v>8</v>
      </c>
      <c r="B39" t="s">
        <v>21</v>
      </c>
      <c r="C39" t="s">
        <v>23</v>
      </c>
      <c r="D39" t="s">
        <v>20</v>
      </c>
      <c r="E39" t="s">
        <v>12</v>
      </c>
      <c r="F39">
        <v>50</v>
      </c>
      <c r="G39">
        <v>64</v>
      </c>
      <c r="H39">
        <v>59</v>
      </c>
    </row>
    <row r="40" spans="1:8" x14ac:dyDescent="0.25">
      <c r="A40" t="s">
        <v>8</v>
      </c>
      <c r="B40" t="s">
        <v>21</v>
      </c>
      <c r="C40" t="s">
        <v>19</v>
      </c>
      <c r="D40" t="s">
        <v>20</v>
      </c>
      <c r="E40" t="s">
        <v>15</v>
      </c>
      <c r="F40">
        <v>75</v>
      </c>
      <c r="G40">
        <v>90</v>
      </c>
      <c r="H40">
        <v>88</v>
      </c>
    </row>
    <row r="41" spans="1:8" x14ac:dyDescent="0.25">
      <c r="A41" t="s">
        <v>17</v>
      </c>
      <c r="B41" t="s">
        <v>9</v>
      </c>
      <c r="C41" t="s">
        <v>19</v>
      </c>
      <c r="D41" t="s">
        <v>20</v>
      </c>
      <c r="E41" t="s">
        <v>12</v>
      </c>
      <c r="F41">
        <v>57</v>
      </c>
      <c r="G41">
        <v>56</v>
      </c>
      <c r="H41">
        <v>57</v>
      </c>
    </row>
    <row r="42" spans="1:8" x14ac:dyDescent="0.25">
      <c r="A42" t="s">
        <v>17</v>
      </c>
      <c r="B42" t="s">
        <v>13</v>
      </c>
      <c r="C42" t="s">
        <v>19</v>
      </c>
      <c r="D42" t="s">
        <v>20</v>
      </c>
      <c r="E42" t="s">
        <v>12</v>
      </c>
      <c r="F42">
        <v>55</v>
      </c>
      <c r="G42">
        <v>61</v>
      </c>
      <c r="H42">
        <v>54</v>
      </c>
    </row>
    <row r="43" spans="1:8" x14ac:dyDescent="0.25">
      <c r="A43" t="s">
        <v>8</v>
      </c>
      <c r="B43" t="s">
        <v>13</v>
      </c>
      <c r="C43" t="s">
        <v>19</v>
      </c>
      <c r="D43" t="s">
        <v>11</v>
      </c>
      <c r="E43" t="s">
        <v>12</v>
      </c>
      <c r="F43">
        <v>58</v>
      </c>
      <c r="G43">
        <v>73</v>
      </c>
      <c r="H43">
        <v>68</v>
      </c>
    </row>
    <row r="44" spans="1:8" x14ac:dyDescent="0.25">
      <c r="A44" t="s">
        <v>8</v>
      </c>
      <c r="B44" t="s">
        <v>9</v>
      </c>
      <c r="C44" t="s">
        <v>19</v>
      </c>
      <c r="D44" t="s">
        <v>11</v>
      </c>
      <c r="E44" t="s">
        <v>12</v>
      </c>
      <c r="F44">
        <v>53</v>
      </c>
      <c r="G44">
        <v>58</v>
      </c>
      <c r="H44">
        <v>65</v>
      </c>
    </row>
    <row r="45" spans="1:8" x14ac:dyDescent="0.25">
      <c r="A45" t="s">
        <v>17</v>
      </c>
      <c r="B45" t="s">
        <v>9</v>
      </c>
      <c r="C45" t="s">
        <v>14</v>
      </c>
      <c r="D45" t="s">
        <v>20</v>
      </c>
      <c r="E45" t="s">
        <v>15</v>
      </c>
      <c r="F45">
        <v>59</v>
      </c>
      <c r="G45">
        <v>65</v>
      </c>
      <c r="H45">
        <v>66</v>
      </c>
    </row>
    <row r="46" spans="1:8" x14ac:dyDescent="0.25">
      <c r="A46" t="s">
        <v>8</v>
      </c>
      <c r="B46" t="s">
        <v>24</v>
      </c>
      <c r="C46" t="s">
        <v>19</v>
      </c>
      <c r="D46" t="s">
        <v>20</v>
      </c>
      <c r="E46" t="s">
        <v>12</v>
      </c>
      <c r="F46">
        <v>50</v>
      </c>
      <c r="G46">
        <v>56</v>
      </c>
      <c r="H46">
        <v>54</v>
      </c>
    </row>
    <row r="47" spans="1:8" x14ac:dyDescent="0.25">
      <c r="A47" t="s">
        <v>17</v>
      </c>
      <c r="B47" t="s">
        <v>9</v>
      </c>
      <c r="C47" t="s">
        <v>19</v>
      </c>
      <c r="D47" t="s">
        <v>11</v>
      </c>
      <c r="E47" t="s">
        <v>12</v>
      </c>
      <c r="F47">
        <v>65</v>
      </c>
      <c r="G47">
        <v>54</v>
      </c>
      <c r="H47">
        <v>57</v>
      </c>
    </row>
    <row r="48" spans="1:8" x14ac:dyDescent="0.25">
      <c r="A48" t="s">
        <v>8</v>
      </c>
      <c r="B48" t="s">
        <v>18</v>
      </c>
      <c r="C48" t="s">
        <v>19</v>
      </c>
      <c r="D48" t="s">
        <v>11</v>
      </c>
      <c r="E48" t="s">
        <v>15</v>
      </c>
      <c r="F48">
        <v>55</v>
      </c>
      <c r="G48">
        <v>65</v>
      </c>
      <c r="H48">
        <v>62</v>
      </c>
    </row>
    <row r="49" spans="1:8" x14ac:dyDescent="0.25">
      <c r="A49" t="s">
        <v>8</v>
      </c>
      <c r="B49" t="s">
        <v>13</v>
      </c>
      <c r="C49" t="s">
        <v>22</v>
      </c>
      <c r="D49" t="s">
        <v>11</v>
      </c>
      <c r="E49" t="s">
        <v>12</v>
      </c>
      <c r="F49">
        <v>66</v>
      </c>
      <c r="G49">
        <v>71</v>
      </c>
      <c r="H49">
        <v>76</v>
      </c>
    </row>
    <row r="50" spans="1:8" x14ac:dyDescent="0.25">
      <c r="A50" t="s">
        <v>8</v>
      </c>
      <c r="B50" t="s">
        <v>21</v>
      </c>
      <c r="C50" t="s">
        <v>19</v>
      </c>
      <c r="D50" t="s">
        <v>20</v>
      </c>
      <c r="E50" t="s">
        <v>15</v>
      </c>
      <c r="F50">
        <v>57</v>
      </c>
      <c r="G50">
        <v>74</v>
      </c>
      <c r="H50">
        <v>76</v>
      </c>
    </row>
    <row r="51" spans="1:8" x14ac:dyDescent="0.25">
      <c r="A51" t="s">
        <v>17</v>
      </c>
      <c r="B51" t="s">
        <v>13</v>
      </c>
      <c r="C51" t="s">
        <v>22</v>
      </c>
      <c r="D51" t="s">
        <v>11</v>
      </c>
      <c r="E51" t="s">
        <v>15</v>
      </c>
      <c r="F51">
        <v>82</v>
      </c>
      <c r="G51">
        <v>84</v>
      </c>
      <c r="H51">
        <v>82</v>
      </c>
    </row>
    <row r="52" spans="1:8" x14ac:dyDescent="0.25">
      <c r="A52" t="s">
        <v>17</v>
      </c>
      <c r="B52" t="s">
        <v>24</v>
      </c>
      <c r="C52" t="s">
        <v>14</v>
      </c>
      <c r="D52" t="s">
        <v>11</v>
      </c>
      <c r="E52" t="s">
        <v>12</v>
      </c>
      <c r="F52">
        <v>53</v>
      </c>
      <c r="G52">
        <v>55</v>
      </c>
      <c r="H52">
        <v>48</v>
      </c>
    </row>
    <row r="53" spans="1:8" x14ac:dyDescent="0.25">
      <c r="A53" t="s">
        <v>17</v>
      </c>
      <c r="B53" t="s">
        <v>24</v>
      </c>
      <c r="C53" t="s">
        <v>19</v>
      </c>
      <c r="D53" t="s">
        <v>20</v>
      </c>
      <c r="E53" t="s">
        <v>15</v>
      </c>
      <c r="F53">
        <v>77</v>
      </c>
      <c r="G53">
        <v>69</v>
      </c>
      <c r="H53">
        <v>68</v>
      </c>
    </row>
    <row r="54" spans="1:8" x14ac:dyDescent="0.25">
      <c r="A54" t="s">
        <v>17</v>
      </c>
      <c r="B54" t="s">
        <v>13</v>
      </c>
      <c r="C54" t="s">
        <v>14</v>
      </c>
      <c r="D54" t="s">
        <v>11</v>
      </c>
      <c r="E54" t="s">
        <v>12</v>
      </c>
      <c r="F54">
        <v>53</v>
      </c>
      <c r="G54">
        <v>44</v>
      </c>
      <c r="H54">
        <v>42</v>
      </c>
    </row>
    <row r="55" spans="1:8" x14ac:dyDescent="0.25">
      <c r="A55" t="s">
        <v>17</v>
      </c>
      <c r="B55" t="s">
        <v>21</v>
      </c>
      <c r="C55" t="s">
        <v>22</v>
      </c>
      <c r="D55" t="s">
        <v>11</v>
      </c>
      <c r="E55" t="s">
        <v>12</v>
      </c>
      <c r="F55">
        <v>88</v>
      </c>
      <c r="G55">
        <v>78</v>
      </c>
      <c r="H55">
        <v>75</v>
      </c>
    </row>
    <row r="56" spans="1:8" x14ac:dyDescent="0.25">
      <c r="A56" t="s">
        <v>8</v>
      </c>
      <c r="B56" t="s">
        <v>13</v>
      </c>
      <c r="C56" t="s">
        <v>23</v>
      </c>
      <c r="D56" t="s">
        <v>20</v>
      </c>
      <c r="E56" t="s">
        <v>15</v>
      </c>
      <c r="F56">
        <v>71</v>
      </c>
      <c r="G56">
        <v>84</v>
      </c>
      <c r="H56">
        <v>87</v>
      </c>
    </row>
    <row r="57" spans="1:8" x14ac:dyDescent="0.25">
      <c r="A57" t="s">
        <v>8</v>
      </c>
      <c r="B57" t="s">
        <v>13</v>
      </c>
      <c r="C57" t="s">
        <v>22</v>
      </c>
      <c r="D57" t="s">
        <v>20</v>
      </c>
      <c r="E57" t="s">
        <v>12</v>
      </c>
      <c r="F57">
        <v>33</v>
      </c>
      <c r="G57">
        <v>41</v>
      </c>
      <c r="H57">
        <v>43</v>
      </c>
    </row>
    <row r="58" spans="1:8" x14ac:dyDescent="0.25">
      <c r="A58" t="s">
        <v>8</v>
      </c>
      <c r="B58" t="s">
        <v>24</v>
      </c>
      <c r="C58" t="s">
        <v>19</v>
      </c>
      <c r="D58" t="s">
        <v>11</v>
      </c>
      <c r="E58" t="s">
        <v>15</v>
      </c>
      <c r="F58">
        <v>82</v>
      </c>
      <c r="G58">
        <v>85</v>
      </c>
      <c r="H58">
        <v>86</v>
      </c>
    </row>
    <row r="59" spans="1:8" x14ac:dyDescent="0.25">
      <c r="A59" t="s">
        <v>17</v>
      </c>
      <c r="B59" t="s">
        <v>21</v>
      </c>
      <c r="C59" t="s">
        <v>19</v>
      </c>
      <c r="D59" t="s">
        <v>11</v>
      </c>
      <c r="E59" t="s">
        <v>12</v>
      </c>
      <c r="F59">
        <v>52</v>
      </c>
      <c r="G59">
        <v>55</v>
      </c>
      <c r="H59">
        <v>49</v>
      </c>
    </row>
    <row r="60" spans="1:8" x14ac:dyDescent="0.25">
      <c r="A60" t="s">
        <v>17</v>
      </c>
      <c r="B60" t="s">
        <v>21</v>
      </c>
      <c r="C60" t="s">
        <v>14</v>
      </c>
      <c r="D60" t="s">
        <v>11</v>
      </c>
      <c r="E60" t="s">
        <v>15</v>
      </c>
      <c r="F60">
        <v>58</v>
      </c>
      <c r="G60">
        <v>59</v>
      </c>
      <c r="H60">
        <v>58</v>
      </c>
    </row>
    <row r="61" spans="1:8" x14ac:dyDescent="0.25">
      <c r="A61" t="s">
        <v>8</v>
      </c>
      <c r="B61" t="s">
        <v>13</v>
      </c>
      <c r="C61" t="s">
        <v>23</v>
      </c>
      <c r="D61" t="s">
        <v>20</v>
      </c>
      <c r="E61" t="s">
        <v>12</v>
      </c>
      <c r="F61">
        <v>0</v>
      </c>
      <c r="G61">
        <v>17</v>
      </c>
      <c r="H61">
        <v>10</v>
      </c>
    </row>
    <row r="62" spans="1:8" x14ac:dyDescent="0.25">
      <c r="A62" t="s">
        <v>17</v>
      </c>
      <c r="B62" t="s">
        <v>24</v>
      </c>
      <c r="C62" t="s">
        <v>10</v>
      </c>
      <c r="D62" t="s">
        <v>20</v>
      </c>
      <c r="E62" t="s">
        <v>15</v>
      </c>
      <c r="F62">
        <v>79</v>
      </c>
      <c r="G62">
        <v>74</v>
      </c>
      <c r="H62">
        <v>72</v>
      </c>
    </row>
    <row r="63" spans="1:8" x14ac:dyDescent="0.25">
      <c r="A63" t="s">
        <v>17</v>
      </c>
      <c r="B63" t="s">
        <v>18</v>
      </c>
      <c r="C63" t="s">
        <v>23</v>
      </c>
      <c r="D63" t="s">
        <v>20</v>
      </c>
      <c r="E63" t="s">
        <v>12</v>
      </c>
      <c r="F63">
        <v>39</v>
      </c>
      <c r="G63">
        <v>39</v>
      </c>
      <c r="H63">
        <v>34</v>
      </c>
    </row>
    <row r="64" spans="1:8" x14ac:dyDescent="0.25">
      <c r="A64" t="s">
        <v>17</v>
      </c>
      <c r="B64" t="s">
        <v>18</v>
      </c>
      <c r="C64" t="s">
        <v>19</v>
      </c>
      <c r="D64" t="s">
        <v>20</v>
      </c>
      <c r="E64" t="s">
        <v>12</v>
      </c>
      <c r="F64">
        <v>62</v>
      </c>
      <c r="G64">
        <v>61</v>
      </c>
      <c r="H64">
        <v>55</v>
      </c>
    </row>
    <row r="65" spans="1:8" x14ac:dyDescent="0.25">
      <c r="A65" t="s">
        <v>8</v>
      </c>
      <c r="B65" t="s">
        <v>13</v>
      </c>
      <c r="C65" t="s">
        <v>19</v>
      </c>
      <c r="D65" t="s">
        <v>11</v>
      </c>
      <c r="E65" t="s">
        <v>12</v>
      </c>
      <c r="F65">
        <v>69</v>
      </c>
      <c r="G65">
        <v>80</v>
      </c>
      <c r="H65">
        <v>71</v>
      </c>
    </row>
    <row r="66" spans="1:8" x14ac:dyDescent="0.25">
      <c r="A66" t="s">
        <v>8</v>
      </c>
      <c r="B66" t="s">
        <v>21</v>
      </c>
      <c r="C66" t="s">
        <v>23</v>
      </c>
      <c r="D66" t="s">
        <v>11</v>
      </c>
      <c r="E66" t="s">
        <v>12</v>
      </c>
      <c r="F66">
        <v>59</v>
      </c>
      <c r="G66">
        <v>58</v>
      </c>
      <c r="H66">
        <v>59</v>
      </c>
    </row>
    <row r="67" spans="1:8" x14ac:dyDescent="0.25">
      <c r="A67" t="s">
        <v>17</v>
      </c>
      <c r="B67" t="s">
        <v>9</v>
      </c>
      <c r="C67" t="s">
        <v>23</v>
      </c>
      <c r="D67" t="s">
        <v>11</v>
      </c>
      <c r="E67" t="s">
        <v>12</v>
      </c>
      <c r="F67">
        <v>67</v>
      </c>
      <c r="G67">
        <v>64</v>
      </c>
      <c r="H67">
        <v>61</v>
      </c>
    </row>
    <row r="68" spans="1:8" x14ac:dyDescent="0.25">
      <c r="A68" t="s">
        <v>17</v>
      </c>
      <c r="B68" t="s">
        <v>21</v>
      </c>
      <c r="C68" t="s">
        <v>23</v>
      </c>
      <c r="D68" t="s">
        <v>20</v>
      </c>
      <c r="E68" t="s">
        <v>12</v>
      </c>
      <c r="F68">
        <v>45</v>
      </c>
      <c r="G68">
        <v>37</v>
      </c>
      <c r="H68">
        <v>37</v>
      </c>
    </row>
    <row r="69" spans="1:8" x14ac:dyDescent="0.25">
      <c r="A69" t="s">
        <v>8</v>
      </c>
      <c r="B69" t="s">
        <v>13</v>
      </c>
      <c r="C69" t="s">
        <v>14</v>
      </c>
      <c r="D69" t="s">
        <v>11</v>
      </c>
      <c r="E69" t="s">
        <v>12</v>
      </c>
      <c r="F69">
        <v>60</v>
      </c>
      <c r="G69">
        <v>72</v>
      </c>
      <c r="H69">
        <v>74</v>
      </c>
    </row>
    <row r="70" spans="1:8" x14ac:dyDescent="0.25">
      <c r="A70" t="s">
        <v>17</v>
      </c>
      <c r="B70" t="s">
        <v>9</v>
      </c>
      <c r="C70" t="s">
        <v>19</v>
      </c>
      <c r="D70" t="s">
        <v>20</v>
      </c>
      <c r="E70" t="s">
        <v>12</v>
      </c>
      <c r="F70">
        <v>61</v>
      </c>
      <c r="G70">
        <v>58</v>
      </c>
      <c r="H70">
        <v>56</v>
      </c>
    </row>
    <row r="71" spans="1:8" x14ac:dyDescent="0.25">
      <c r="A71" t="s">
        <v>8</v>
      </c>
      <c r="B71" t="s">
        <v>13</v>
      </c>
      <c r="C71" t="s">
        <v>19</v>
      </c>
      <c r="D71" t="s">
        <v>11</v>
      </c>
      <c r="E71" t="s">
        <v>12</v>
      </c>
      <c r="F71">
        <v>39</v>
      </c>
      <c r="G71">
        <v>64</v>
      </c>
      <c r="H71">
        <v>57</v>
      </c>
    </row>
    <row r="72" spans="1:8" x14ac:dyDescent="0.25">
      <c r="A72" t="s">
        <v>8</v>
      </c>
      <c r="B72" t="s">
        <v>21</v>
      </c>
      <c r="C72" t="s">
        <v>14</v>
      </c>
      <c r="D72" t="s">
        <v>20</v>
      </c>
      <c r="E72" t="s">
        <v>15</v>
      </c>
      <c r="F72">
        <v>58</v>
      </c>
      <c r="G72">
        <v>63</v>
      </c>
      <c r="H72">
        <v>73</v>
      </c>
    </row>
    <row r="73" spans="1:8" x14ac:dyDescent="0.25">
      <c r="A73" t="s">
        <v>17</v>
      </c>
      <c r="B73" t="s">
        <v>21</v>
      </c>
      <c r="C73" t="s">
        <v>14</v>
      </c>
      <c r="D73" t="s">
        <v>11</v>
      </c>
      <c r="E73" t="s">
        <v>15</v>
      </c>
      <c r="F73">
        <v>63</v>
      </c>
      <c r="G73">
        <v>55</v>
      </c>
      <c r="H73">
        <v>63</v>
      </c>
    </row>
    <row r="74" spans="1:8" x14ac:dyDescent="0.25">
      <c r="A74" t="s">
        <v>8</v>
      </c>
      <c r="B74" t="s">
        <v>18</v>
      </c>
      <c r="C74" t="s">
        <v>19</v>
      </c>
      <c r="D74" t="s">
        <v>20</v>
      </c>
      <c r="E74" t="s">
        <v>12</v>
      </c>
      <c r="F74">
        <v>41</v>
      </c>
      <c r="G74">
        <v>51</v>
      </c>
      <c r="H74">
        <v>48</v>
      </c>
    </row>
    <row r="75" spans="1:8" x14ac:dyDescent="0.25">
      <c r="A75" t="s">
        <v>17</v>
      </c>
      <c r="B75" t="s">
        <v>13</v>
      </c>
      <c r="C75" t="s">
        <v>23</v>
      </c>
      <c r="D75" t="s">
        <v>20</v>
      </c>
      <c r="E75" t="s">
        <v>12</v>
      </c>
      <c r="F75">
        <v>61</v>
      </c>
      <c r="G75">
        <v>57</v>
      </c>
      <c r="H75">
        <v>56</v>
      </c>
    </row>
    <row r="76" spans="1:8" x14ac:dyDescent="0.25">
      <c r="A76" t="s">
        <v>17</v>
      </c>
      <c r="B76" t="s">
        <v>13</v>
      </c>
      <c r="C76" t="s">
        <v>23</v>
      </c>
      <c r="D76" t="s">
        <v>11</v>
      </c>
      <c r="E76" t="s">
        <v>12</v>
      </c>
      <c r="F76">
        <v>49</v>
      </c>
      <c r="G76">
        <v>49</v>
      </c>
      <c r="H76">
        <v>41</v>
      </c>
    </row>
    <row r="77" spans="1:8" x14ac:dyDescent="0.25">
      <c r="A77" t="s">
        <v>17</v>
      </c>
      <c r="B77" t="s">
        <v>9</v>
      </c>
      <c r="C77" t="s">
        <v>19</v>
      </c>
      <c r="D77" t="s">
        <v>20</v>
      </c>
      <c r="E77" t="s">
        <v>12</v>
      </c>
      <c r="F77">
        <v>44</v>
      </c>
      <c r="G77">
        <v>41</v>
      </c>
      <c r="H77">
        <v>38</v>
      </c>
    </row>
    <row r="78" spans="1:8" x14ac:dyDescent="0.25">
      <c r="A78" t="s">
        <v>17</v>
      </c>
      <c r="B78" t="s">
        <v>24</v>
      </c>
      <c r="C78" t="s">
        <v>23</v>
      </c>
      <c r="D78" t="s">
        <v>11</v>
      </c>
      <c r="E78" t="s">
        <v>12</v>
      </c>
      <c r="F78">
        <v>30</v>
      </c>
      <c r="G78">
        <v>26</v>
      </c>
      <c r="H78">
        <v>22</v>
      </c>
    </row>
    <row r="79" spans="1:8" x14ac:dyDescent="0.25">
      <c r="A79" t="s">
        <v>17</v>
      </c>
      <c r="B79" t="s">
        <v>18</v>
      </c>
      <c r="C79" t="s">
        <v>10</v>
      </c>
      <c r="D79" t="s">
        <v>11</v>
      </c>
      <c r="E79" t="s">
        <v>15</v>
      </c>
      <c r="F79">
        <v>80</v>
      </c>
      <c r="G79">
        <v>78</v>
      </c>
      <c r="H79">
        <v>81</v>
      </c>
    </row>
    <row r="80" spans="1:8" x14ac:dyDescent="0.25">
      <c r="A80" t="s">
        <v>8</v>
      </c>
      <c r="B80" t="s">
        <v>21</v>
      </c>
      <c r="C80" t="s">
        <v>23</v>
      </c>
      <c r="D80" t="s">
        <v>11</v>
      </c>
      <c r="E80" t="s">
        <v>15</v>
      </c>
      <c r="F80">
        <v>61</v>
      </c>
      <c r="G80">
        <v>74</v>
      </c>
      <c r="H80">
        <v>72</v>
      </c>
    </row>
    <row r="81" spans="1:8" x14ac:dyDescent="0.25">
      <c r="A81" t="s">
        <v>8</v>
      </c>
      <c r="B81" t="s">
        <v>24</v>
      </c>
      <c r="C81" t="s">
        <v>16</v>
      </c>
      <c r="D81" t="s">
        <v>11</v>
      </c>
      <c r="E81" t="s">
        <v>12</v>
      </c>
      <c r="F81">
        <v>62</v>
      </c>
      <c r="G81">
        <v>68</v>
      </c>
      <c r="H81">
        <v>68</v>
      </c>
    </row>
    <row r="82" spans="1:8" x14ac:dyDescent="0.25">
      <c r="A82" t="s">
        <v>8</v>
      </c>
      <c r="B82" t="s">
        <v>9</v>
      </c>
      <c r="C82" t="s">
        <v>19</v>
      </c>
      <c r="D82" t="s">
        <v>11</v>
      </c>
      <c r="E82" t="s">
        <v>12</v>
      </c>
      <c r="F82">
        <v>47</v>
      </c>
      <c r="G82">
        <v>49</v>
      </c>
      <c r="H82">
        <v>50</v>
      </c>
    </row>
    <row r="83" spans="1:8" x14ac:dyDescent="0.25">
      <c r="A83" t="s">
        <v>17</v>
      </c>
      <c r="B83" t="s">
        <v>9</v>
      </c>
      <c r="C83" t="s">
        <v>22</v>
      </c>
      <c r="D83" t="s">
        <v>20</v>
      </c>
      <c r="E83" t="s">
        <v>12</v>
      </c>
      <c r="F83">
        <v>49</v>
      </c>
      <c r="G83">
        <v>45</v>
      </c>
      <c r="H83">
        <v>45</v>
      </c>
    </row>
    <row r="84" spans="1:8" x14ac:dyDescent="0.25">
      <c r="A84" t="s">
        <v>17</v>
      </c>
      <c r="B84" t="s">
        <v>18</v>
      </c>
      <c r="C84" t="s">
        <v>14</v>
      </c>
      <c r="D84" t="s">
        <v>20</v>
      </c>
      <c r="E84" t="s">
        <v>15</v>
      </c>
      <c r="F84">
        <v>50</v>
      </c>
      <c r="G84">
        <v>47</v>
      </c>
      <c r="H84">
        <v>54</v>
      </c>
    </row>
    <row r="85" spans="1:8" x14ac:dyDescent="0.25">
      <c r="A85" t="s">
        <v>17</v>
      </c>
      <c r="B85" t="s">
        <v>24</v>
      </c>
      <c r="C85" t="s">
        <v>19</v>
      </c>
      <c r="D85" t="s">
        <v>11</v>
      </c>
      <c r="E85" t="s">
        <v>12</v>
      </c>
      <c r="F85">
        <v>72</v>
      </c>
      <c r="G85">
        <v>64</v>
      </c>
      <c r="H85">
        <v>63</v>
      </c>
    </row>
    <row r="86" spans="1:8" x14ac:dyDescent="0.25">
      <c r="A86" t="s">
        <v>17</v>
      </c>
      <c r="B86" t="s">
        <v>21</v>
      </c>
      <c r="C86" t="s">
        <v>22</v>
      </c>
      <c r="D86" t="s">
        <v>20</v>
      </c>
      <c r="E86" t="s">
        <v>12</v>
      </c>
      <c r="F86">
        <v>42</v>
      </c>
      <c r="G86">
        <v>39</v>
      </c>
      <c r="H86">
        <v>34</v>
      </c>
    </row>
    <row r="87" spans="1:8" x14ac:dyDescent="0.25">
      <c r="A87" t="s">
        <v>8</v>
      </c>
      <c r="B87" t="s">
        <v>13</v>
      </c>
      <c r="C87" t="s">
        <v>14</v>
      </c>
      <c r="D87" t="s">
        <v>11</v>
      </c>
      <c r="E87" t="s">
        <v>12</v>
      </c>
      <c r="F87">
        <v>73</v>
      </c>
      <c r="G87">
        <v>80</v>
      </c>
      <c r="H87">
        <v>82</v>
      </c>
    </row>
    <row r="88" spans="1:8" x14ac:dyDescent="0.25">
      <c r="A88" t="s">
        <v>8</v>
      </c>
      <c r="B88" t="s">
        <v>13</v>
      </c>
      <c r="C88" t="s">
        <v>14</v>
      </c>
      <c r="D88" t="s">
        <v>20</v>
      </c>
      <c r="E88" t="s">
        <v>12</v>
      </c>
      <c r="F88">
        <v>76</v>
      </c>
      <c r="G88">
        <v>83</v>
      </c>
      <c r="H88">
        <v>88</v>
      </c>
    </row>
    <row r="89" spans="1:8" x14ac:dyDescent="0.25">
      <c r="A89" t="s">
        <v>8</v>
      </c>
      <c r="B89" t="s">
        <v>21</v>
      </c>
      <c r="C89" t="s">
        <v>19</v>
      </c>
      <c r="D89" t="s">
        <v>11</v>
      </c>
      <c r="E89" t="s">
        <v>12</v>
      </c>
      <c r="F89">
        <v>71</v>
      </c>
      <c r="G89">
        <v>71</v>
      </c>
      <c r="H89">
        <v>74</v>
      </c>
    </row>
    <row r="90" spans="1:8" x14ac:dyDescent="0.25">
      <c r="A90" t="s">
        <v>8</v>
      </c>
      <c r="B90" t="s">
        <v>18</v>
      </c>
      <c r="C90" t="s">
        <v>14</v>
      </c>
      <c r="D90" t="s">
        <v>11</v>
      </c>
      <c r="E90" t="s">
        <v>12</v>
      </c>
      <c r="F90">
        <v>58</v>
      </c>
      <c r="G90">
        <v>70</v>
      </c>
      <c r="H90">
        <v>67</v>
      </c>
    </row>
    <row r="91" spans="1:8" x14ac:dyDescent="0.25">
      <c r="A91" t="s">
        <v>8</v>
      </c>
      <c r="B91" t="s">
        <v>21</v>
      </c>
      <c r="C91" t="s">
        <v>23</v>
      </c>
      <c r="D91" t="s">
        <v>11</v>
      </c>
      <c r="E91" t="s">
        <v>12</v>
      </c>
      <c r="F91">
        <v>73</v>
      </c>
      <c r="G91">
        <v>86</v>
      </c>
      <c r="H91">
        <v>82</v>
      </c>
    </row>
    <row r="92" spans="1:8" x14ac:dyDescent="0.25">
      <c r="A92" t="s">
        <v>8</v>
      </c>
      <c r="B92" t="s">
        <v>13</v>
      </c>
      <c r="C92" t="s">
        <v>10</v>
      </c>
      <c r="D92" t="s">
        <v>11</v>
      </c>
      <c r="E92" t="s">
        <v>12</v>
      </c>
      <c r="F92">
        <v>65</v>
      </c>
      <c r="G92">
        <v>72</v>
      </c>
      <c r="H92">
        <v>74</v>
      </c>
    </row>
    <row r="93" spans="1:8" x14ac:dyDescent="0.25">
      <c r="A93" t="s">
        <v>17</v>
      </c>
      <c r="B93" t="s">
        <v>13</v>
      </c>
      <c r="C93" t="s">
        <v>22</v>
      </c>
      <c r="D93" t="s">
        <v>20</v>
      </c>
      <c r="E93" t="s">
        <v>12</v>
      </c>
      <c r="F93">
        <v>27</v>
      </c>
      <c r="G93">
        <v>34</v>
      </c>
      <c r="H93">
        <v>36</v>
      </c>
    </row>
    <row r="94" spans="1:8" x14ac:dyDescent="0.25">
      <c r="A94" t="s">
        <v>17</v>
      </c>
      <c r="B94" t="s">
        <v>13</v>
      </c>
      <c r="C94" t="s">
        <v>22</v>
      </c>
      <c r="D94" t="s">
        <v>11</v>
      </c>
      <c r="E94" t="s">
        <v>12</v>
      </c>
      <c r="F94">
        <v>71</v>
      </c>
      <c r="G94">
        <v>79</v>
      </c>
      <c r="H94">
        <v>71</v>
      </c>
    </row>
    <row r="95" spans="1:8" x14ac:dyDescent="0.25">
      <c r="A95" t="s">
        <v>17</v>
      </c>
      <c r="B95" t="s">
        <v>13</v>
      </c>
      <c r="C95" t="s">
        <v>19</v>
      </c>
      <c r="D95" t="s">
        <v>20</v>
      </c>
      <c r="E95" t="s">
        <v>15</v>
      </c>
      <c r="F95">
        <v>43</v>
      </c>
      <c r="G95">
        <v>45</v>
      </c>
      <c r="H95">
        <v>50</v>
      </c>
    </row>
    <row r="96" spans="1:8" x14ac:dyDescent="0.25">
      <c r="A96" t="s">
        <v>8</v>
      </c>
      <c r="B96" t="s">
        <v>9</v>
      </c>
      <c r="C96" t="s">
        <v>14</v>
      </c>
      <c r="D96" t="s">
        <v>11</v>
      </c>
      <c r="E96" t="s">
        <v>12</v>
      </c>
      <c r="F96">
        <v>79</v>
      </c>
      <c r="G96">
        <v>86</v>
      </c>
      <c r="H96">
        <v>92</v>
      </c>
    </row>
    <row r="97" spans="1:8" x14ac:dyDescent="0.25">
      <c r="A97" t="s">
        <v>17</v>
      </c>
      <c r="B97" t="s">
        <v>13</v>
      </c>
      <c r="C97" t="s">
        <v>19</v>
      </c>
      <c r="D97" t="s">
        <v>20</v>
      </c>
      <c r="E97" t="s">
        <v>15</v>
      </c>
      <c r="F97">
        <v>78</v>
      </c>
      <c r="G97">
        <v>81</v>
      </c>
      <c r="H97">
        <v>82</v>
      </c>
    </row>
    <row r="98" spans="1:8" x14ac:dyDescent="0.25">
      <c r="A98" t="s">
        <v>17</v>
      </c>
      <c r="B98" t="s">
        <v>9</v>
      </c>
      <c r="C98" t="s">
        <v>23</v>
      </c>
      <c r="D98" t="s">
        <v>11</v>
      </c>
      <c r="E98" t="s">
        <v>15</v>
      </c>
      <c r="F98">
        <v>65</v>
      </c>
      <c r="G98">
        <v>66</v>
      </c>
      <c r="H98">
        <v>62</v>
      </c>
    </row>
    <row r="99" spans="1:8" x14ac:dyDescent="0.25">
      <c r="A99" t="s">
        <v>8</v>
      </c>
      <c r="B99" t="s">
        <v>24</v>
      </c>
      <c r="C99" t="s">
        <v>14</v>
      </c>
      <c r="D99" t="s">
        <v>11</v>
      </c>
      <c r="E99" t="s">
        <v>15</v>
      </c>
      <c r="F99">
        <v>63</v>
      </c>
      <c r="G99">
        <v>72</v>
      </c>
      <c r="H99">
        <v>70</v>
      </c>
    </row>
    <row r="100" spans="1:8" x14ac:dyDescent="0.25">
      <c r="A100" t="s">
        <v>8</v>
      </c>
      <c r="B100" t="s">
        <v>21</v>
      </c>
      <c r="C100" t="s">
        <v>14</v>
      </c>
      <c r="D100" t="s">
        <v>20</v>
      </c>
      <c r="E100" t="s">
        <v>12</v>
      </c>
      <c r="F100">
        <v>58</v>
      </c>
      <c r="G100">
        <v>67</v>
      </c>
      <c r="H100">
        <v>62</v>
      </c>
    </row>
    <row r="101" spans="1:8" x14ac:dyDescent="0.25">
      <c r="A101" t="s">
        <v>8</v>
      </c>
      <c r="B101" t="s">
        <v>21</v>
      </c>
      <c r="C101" t="s">
        <v>10</v>
      </c>
      <c r="D101" t="s">
        <v>11</v>
      </c>
      <c r="E101" t="s">
        <v>12</v>
      </c>
      <c r="F101">
        <v>65</v>
      </c>
      <c r="G101">
        <v>67</v>
      </c>
      <c r="H101">
        <v>62</v>
      </c>
    </row>
    <row r="102" spans="1:8" x14ac:dyDescent="0.25">
      <c r="A102" t="s">
        <v>17</v>
      </c>
      <c r="B102" t="s">
        <v>9</v>
      </c>
      <c r="C102" t="s">
        <v>14</v>
      </c>
      <c r="D102" t="s">
        <v>11</v>
      </c>
      <c r="E102" t="s">
        <v>12</v>
      </c>
      <c r="F102">
        <v>79</v>
      </c>
      <c r="G102">
        <v>67</v>
      </c>
      <c r="H102">
        <v>67</v>
      </c>
    </row>
    <row r="103" spans="1:8" x14ac:dyDescent="0.25">
      <c r="A103" t="s">
        <v>17</v>
      </c>
      <c r="B103" t="s">
        <v>21</v>
      </c>
      <c r="C103" t="s">
        <v>10</v>
      </c>
      <c r="D103" t="s">
        <v>11</v>
      </c>
      <c r="E103" t="s">
        <v>15</v>
      </c>
      <c r="F103">
        <v>68</v>
      </c>
      <c r="G103">
        <v>74</v>
      </c>
      <c r="H103">
        <v>74</v>
      </c>
    </row>
    <row r="104" spans="1:8" x14ac:dyDescent="0.25">
      <c r="A104" t="s">
        <v>8</v>
      </c>
      <c r="B104" t="s">
        <v>21</v>
      </c>
      <c r="C104" t="s">
        <v>19</v>
      </c>
      <c r="D104" t="s">
        <v>11</v>
      </c>
      <c r="E104" t="s">
        <v>12</v>
      </c>
      <c r="F104">
        <v>85</v>
      </c>
      <c r="G104">
        <v>91</v>
      </c>
      <c r="H104">
        <v>89</v>
      </c>
    </row>
    <row r="105" spans="1:8" x14ac:dyDescent="0.25">
      <c r="A105" t="s">
        <v>17</v>
      </c>
      <c r="B105" t="s">
        <v>9</v>
      </c>
      <c r="C105" t="s">
        <v>22</v>
      </c>
      <c r="D105" t="s">
        <v>11</v>
      </c>
      <c r="E105" t="s">
        <v>15</v>
      </c>
      <c r="F105">
        <v>60</v>
      </c>
      <c r="G105">
        <v>44</v>
      </c>
      <c r="H105">
        <v>47</v>
      </c>
    </row>
    <row r="106" spans="1:8" x14ac:dyDescent="0.25">
      <c r="A106" t="s">
        <v>17</v>
      </c>
      <c r="B106" t="s">
        <v>13</v>
      </c>
      <c r="C106" t="s">
        <v>14</v>
      </c>
      <c r="D106" t="s">
        <v>11</v>
      </c>
      <c r="E106" t="s">
        <v>15</v>
      </c>
      <c r="F106">
        <v>98</v>
      </c>
      <c r="G106">
        <v>86</v>
      </c>
      <c r="H106">
        <v>90</v>
      </c>
    </row>
    <row r="107" spans="1:8" x14ac:dyDescent="0.25">
      <c r="A107" t="s">
        <v>8</v>
      </c>
      <c r="B107" t="s">
        <v>13</v>
      </c>
      <c r="C107" t="s">
        <v>14</v>
      </c>
      <c r="D107" t="s">
        <v>11</v>
      </c>
      <c r="E107" t="s">
        <v>12</v>
      </c>
      <c r="F107">
        <v>58</v>
      </c>
      <c r="G107">
        <v>67</v>
      </c>
      <c r="H107">
        <v>72</v>
      </c>
    </row>
    <row r="108" spans="1:8" x14ac:dyDescent="0.25">
      <c r="A108" t="s">
        <v>8</v>
      </c>
      <c r="B108" t="s">
        <v>21</v>
      </c>
      <c r="C108" t="s">
        <v>16</v>
      </c>
      <c r="D108" t="s">
        <v>11</v>
      </c>
      <c r="E108" t="s">
        <v>12</v>
      </c>
      <c r="F108">
        <v>87</v>
      </c>
      <c r="G108">
        <v>100</v>
      </c>
      <c r="H108">
        <v>100</v>
      </c>
    </row>
    <row r="109" spans="1:8" x14ac:dyDescent="0.25">
      <c r="A109" t="s">
        <v>17</v>
      </c>
      <c r="B109" t="s">
        <v>24</v>
      </c>
      <c r="C109" t="s">
        <v>19</v>
      </c>
      <c r="D109" t="s">
        <v>11</v>
      </c>
      <c r="E109" t="s">
        <v>15</v>
      </c>
      <c r="F109">
        <v>66</v>
      </c>
      <c r="G109">
        <v>63</v>
      </c>
      <c r="H109">
        <v>64</v>
      </c>
    </row>
    <row r="110" spans="1:8" x14ac:dyDescent="0.25">
      <c r="A110" t="s">
        <v>8</v>
      </c>
      <c r="B110" t="s">
        <v>9</v>
      </c>
      <c r="C110" t="s">
        <v>19</v>
      </c>
      <c r="D110" t="s">
        <v>20</v>
      </c>
      <c r="E110" t="s">
        <v>12</v>
      </c>
      <c r="F110">
        <v>52</v>
      </c>
      <c r="G110">
        <v>76</v>
      </c>
      <c r="H110">
        <v>70</v>
      </c>
    </row>
    <row r="111" spans="1:8" x14ac:dyDescent="0.25">
      <c r="A111" t="s">
        <v>8</v>
      </c>
      <c r="B111" t="s">
        <v>9</v>
      </c>
      <c r="C111" t="s">
        <v>23</v>
      </c>
      <c r="D111" t="s">
        <v>11</v>
      </c>
      <c r="E111" t="s">
        <v>12</v>
      </c>
      <c r="F111">
        <v>70</v>
      </c>
      <c r="G111">
        <v>64</v>
      </c>
      <c r="H111">
        <v>72</v>
      </c>
    </row>
    <row r="112" spans="1:8" x14ac:dyDescent="0.25">
      <c r="A112" t="s">
        <v>8</v>
      </c>
      <c r="B112" t="s">
        <v>21</v>
      </c>
      <c r="C112" t="s">
        <v>19</v>
      </c>
      <c r="D112" t="s">
        <v>20</v>
      </c>
      <c r="E112" t="s">
        <v>15</v>
      </c>
      <c r="F112">
        <v>77</v>
      </c>
      <c r="G112">
        <v>89</v>
      </c>
      <c r="H112">
        <v>98</v>
      </c>
    </row>
    <row r="113" spans="1:8" x14ac:dyDescent="0.25">
      <c r="A113" t="s">
        <v>17</v>
      </c>
      <c r="B113" t="s">
        <v>13</v>
      </c>
      <c r="C113" t="s">
        <v>22</v>
      </c>
      <c r="D113" t="s">
        <v>11</v>
      </c>
      <c r="E113" t="s">
        <v>12</v>
      </c>
      <c r="F113">
        <v>62</v>
      </c>
      <c r="G113">
        <v>55</v>
      </c>
      <c r="H113">
        <v>49</v>
      </c>
    </row>
    <row r="114" spans="1:8" x14ac:dyDescent="0.25">
      <c r="A114" t="s">
        <v>17</v>
      </c>
      <c r="B114" t="s">
        <v>18</v>
      </c>
      <c r="C114" t="s">
        <v>19</v>
      </c>
      <c r="D114" t="s">
        <v>11</v>
      </c>
      <c r="E114" t="s">
        <v>12</v>
      </c>
      <c r="F114">
        <v>54</v>
      </c>
      <c r="G114">
        <v>53</v>
      </c>
      <c r="H114">
        <v>47</v>
      </c>
    </row>
    <row r="115" spans="1:8" x14ac:dyDescent="0.25">
      <c r="A115" t="s">
        <v>8</v>
      </c>
      <c r="B115" t="s">
        <v>21</v>
      </c>
      <c r="C115" t="s">
        <v>14</v>
      </c>
      <c r="D115" t="s">
        <v>11</v>
      </c>
      <c r="E115" t="s">
        <v>12</v>
      </c>
      <c r="F115">
        <v>51</v>
      </c>
      <c r="G115">
        <v>58</v>
      </c>
      <c r="H115">
        <v>54</v>
      </c>
    </row>
    <row r="116" spans="1:8" x14ac:dyDescent="0.25">
      <c r="A116" t="s">
        <v>8</v>
      </c>
      <c r="B116" t="s">
        <v>24</v>
      </c>
      <c r="C116" t="s">
        <v>10</v>
      </c>
      <c r="D116" t="s">
        <v>11</v>
      </c>
      <c r="E116" t="s">
        <v>15</v>
      </c>
      <c r="F116">
        <v>99</v>
      </c>
      <c r="G116">
        <v>100</v>
      </c>
      <c r="H116">
        <v>100</v>
      </c>
    </row>
    <row r="117" spans="1:8" x14ac:dyDescent="0.25">
      <c r="A117" t="s">
        <v>17</v>
      </c>
      <c r="B117" t="s">
        <v>13</v>
      </c>
      <c r="C117" t="s">
        <v>22</v>
      </c>
      <c r="D117" t="s">
        <v>11</v>
      </c>
      <c r="E117" t="s">
        <v>12</v>
      </c>
      <c r="F117">
        <v>84</v>
      </c>
      <c r="G117">
        <v>77</v>
      </c>
      <c r="H117">
        <v>74</v>
      </c>
    </row>
    <row r="118" spans="1:8" x14ac:dyDescent="0.25">
      <c r="A118" t="s">
        <v>8</v>
      </c>
      <c r="B118" t="s">
        <v>9</v>
      </c>
      <c r="C118" t="s">
        <v>10</v>
      </c>
      <c r="D118" t="s">
        <v>20</v>
      </c>
      <c r="E118" t="s">
        <v>12</v>
      </c>
      <c r="F118">
        <v>75</v>
      </c>
      <c r="G118">
        <v>85</v>
      </c>
      <c r="H118">
        <v>82</v>
      </c>
    </row>
    <row r="119" spans="1:8" x14ac:dyDescent="0.25">
      <c r="A119" t="s">
        <v>8</v>
      </c>
      <c r="B119" t="s">
        <v>21</v>
      </c>
      <c r="C119" t="s">
        <v>10</v>
      </c>
      <c r="D119" t="s">
        <v>11</v>
      </c>
      <c r="E119" t="s">
        <v>12</v>
      </c>
      <c r="F119">
        <v>78</v>
      </c>
      <c r="G119">
        <v>82</v>
      </c>
      <c r="H119">
        <v>79</v>
      </c>
    </row>
    <row r="120" spans="1:8" x14ac:dyDescent="0.25">
      <c r="A120" t="s">
        <v>8</v>
      </c>
      <c r="B120" t="s">
        <v>21</v>
      </c>
      <c r="C120" t="s">
        <v>23</v>
      </c>
      <c r="D120" t="s">
        <v>11</v>
      </c>
      <c r="E120" t="s">
        <v>12</v>
      </c>
      <c r="F120">
        <v>51</v>
      </c>
      <c r="G120">
        <v>63</v>
      </c>
      <c r="H120">
        <v>61</v>
      </c>
    </row>
    <row r="121" spans="1:8" x14ac:dyDescent="0.25">
      <c r="A121" t="s">
        <v>8</v>
      </c>
      <c r="B121" t="s">
        <v>13</v>
      </c>
      <c r="C121" t="s">
        <v>14</v>
      </c>
      <c r="D121" t="s">
        <v>11</v>
      </c>
      <c r="E121" t="s">
        <v>12</v>
      </c>
      <c r="F121">
        <v>55</v>
      </c>
      <c r="G121">
        <v>69</v>
      </c>
      <c r="H121">
        <v>65</v>
      </c>
    </row>
    <row r="122" spans="1:8" x14ac:dyDescent="0.25">
      <c r="A122" t="s">
        <v>8</v>
      </c>
      <c r="B122" t="s">
        <v>13</v>
      </c>
      <c r="C122" t="s">
        <v>10</v>
      </c>
      <c r="D122" t="s">
        <v>11</v>
      </c>
      <c r="E122" t="s">
        <v>15</v>
      </c>
      <c r="F122">
        <v>79</v>
      </c>
      <c r="G122">
        <v>92</v>
      </c>
      <c r="H122">
        <v>89</v>
      </c>
    </row>
    <row r="123" spans="1:8" x14ac:dyDescent="0.25">
      <c r="A123" t="s">
        <v>17</v>
      </c>
      <c r="B123" t="s">
        <v>9</v>
      </c>
      <c r="C123" t="s">
        <v>19</v>
      </c>
      <c r="D123" t="s">
        <v>11</v>
      </c>
      <c r="E123" t="s">
        <v>15</v>
      </c>
      <c r="F123">
        <v>91</v>
      </c>
      <c r="G123">
        <v>89</v>
      </c>
      <c r="H123">
        <v>92</v>
      </c>
    </row>
    <row r="124" spans="1:8" x14ac:dyDescent="0.25">
      <c r="A124" t="s">
        <v>8</v>
      </c>
      <c r="B124" t="s">
        <v>13</v>
      </c>
      <c r="C124" t="s">
        <v>14</v>
      </c>
      <c r="D124" t="s">
        <v>11</v>
      </c>
      <c r="E124" t="s">
        <v>15</v>
      </c>
      <c r="F124">
        <v>88</v>
      </c>
      <c r="G124">
        <v>93</v>
      </c>
      <c r="H124">
        <v>93</v>
      </c>
    </row>
    <row r="125" spans="1:8" x14ac:dyDescent="0.25">
      <c r="A125" t="s">
        <v>17</v>
      </c>
      <c r="B125" t="s">
        <v>21</v>
      </c>
      <c r="C125" t="s">
        <v>22</v>
      </c>
      <c r="D125" t="s">
        <v>20</v>
      </c>
      <c r="E125" t="s">
        <v>12</v>
      </c>
      <c r="F125">
        <v>63</v>
      </c>
      <c r="G125">
        <v>57</v>
      </c>
      <c r="H125">
        <v>56</v>
      </c>
    </row>
    <row r="126" spans="1:8" x14ac:dyDescent="0.25">
      <c r="A126" t="s">
        <v>17</v>
      </c>
      <c r="B126" t="s">
        <v>24</v>
      </c>
      <c r="C126" t="s">
        <v>14</v>
      </c>
      <c r="D126" t="s">
        <v>11</v>
      </c>
      <c r="E126" t="s">
        <v>12</v>
      </c>
      <c r="F126">
        <v>83</v>
      </c>
      <c r="G126">
        <v>80</v>
      </c>
      <c r="H126">
        <v>73</v>
      </c>
    </row>
    <row r="127" spans="1:8" x14ac:dyDescent="0.25">
      <c r="A127" t="s">
        <v>8</v>
      </c>
      <c r="B127" t="s">
        <v>9</v>
      </c>
      <c r="C127" t="s">
        <v>22</v>
      </c>
      <c r="D127" t="s">
        <v>11</v>
      </c>
      <c r="E127" t="s">
        <v>12</v>
      </c>
      <c r="F127">
        <v>87</v>
      </c>
      <c r="G127">
        <v>95</v>
      </c>
      <c r="H127">
        <v>86</v>
      </c>
    </row>
    <row r="128" spans="1:8" x14ac:dyDescent="0.25">
      <c r="A128" t="s">
        <v>17</v>
      </c>
      <c r="B128" t="s">
        <v>9</v>
      </c>
      <c r="C128" t="s">
        <v>23</v>
      </c>
      <c r="D128" t="s">
        <v>11</v>
      </c>
      <c r="E128" t="s">
        <v>12</v>
      </c>
      <c r="F128">
        <v>72</v>
      </c>
      <c r="G128">
        <v>68</v>
      </c>
      <c r="H128">
        <v>67</v>
      </c>
    </row>
    <row r="129" spans="1:8" x14ac:dyDescent="0.25">
      <c r="A129" t="s">
        <v>17</v>
      </c>
      <c r="B129" t="s">
        <v>21</v>
      </c>
      <c r="C129" t="s">
        <v>14</v>
      </c>
      <c r="D129" t="s">
        <v>11</v>
      </c>
      <c r="E129" t="s">
        <v>15</v>
      </c>
      <c r="F129">
        <v>65</v>
      </c>
      <c r="G129">
        <v>77</v>
      </c>
      <c r="H129">
        <v>74</v>
      </c>
    </row>
    <row r="130" spans="1:8" x14ac:dyDescent="0.25">
      <c r="A130" t="s">
        <v>17</v>
      </c>
      <c r="B130" t="s">
        <v>21</v>
      </c>
      <c r="C130" t="s">
        <v>16</v>
      </c>
      <c r="D130" t="s">
        <v>11</v>
      </c>
      <c r="E130" t="s">
        <v>12</v>
      </c>
      <c r="F130">
        <v>82</v>
      </c>
      <c r="G130">
        <v>82</v>
      </c>
      <c r="H130">
        <v>74</v>
      </c>
    </row>
    <row r="131" spans="1:8" x14ac:dyDescent="0.25">
      <c r="A131" t="s">
        <v>8</v>
      </c>
      <c r="B131" t="s">
        <v>18</v>
      </c>
      <c r="C131" t="s">
        <v>10</v>
      </c>
      <c r="D131" t="s">
        <v>11</v>
      </c>
      <c r="E131" t="s">
        <v>12</v>
      </c>
      <c r="F131">
        <v>51</v>
      </c>
      <c r="G131">
        <v>49</v>
      </c>
      <c r="H131">
        <v>51</v>
      </c>
    </row>
    <row r="132" spans="1:8" x14ac:dyDescent="0.25">
      <c r="A132" t="s">
        <v>17</v>
      </c>
      <c r="B132" t="s">
        <v>21</v>
      </c>
      <c r="C132" t="s">
        <v>16</v>
      </c>
      <c r="D132" t="s">
        <v>11</v>
      </c>
      <c r="E132" t="s">
        <v>12</v>
      </c>
      <c r="F132">
        <v>89</v>
      </c>
      <c r="G132">
        <v>84</v>
      </c>
      <c r="H132">
        <v>82</v>
      </c>
    </row>
    <row r="133" spans="1:8" x14ac:dyDescent="0.25">
      <c r="A133" t="s">
        <v>17</v>
      </c>
      <c r="B133" t="s">
        <v>13</v>
      </c>
      <c r="C133" t="s">
        <v>23</v>
      </c>
      <c r="D133" t="s">
        <v>20</v>
      </c>
      <c r="E133" t="s">
        <v>15</v>
      </c>
      <c r="F133">
        <v>53</v>
      </c>
      <c r="G133">
        <v>37</v>
      </c>
      <c r="H133">
        <v>40</v>
      </c>
    </row>
    <row r="134" spans="1:8" x14ac:dyDescent="0.25">
      <c r="A134" t="s">
        <v>17</v>
      </c>
      <c r="B134" t="s">
        <v>24</v>
      </c>
      <c r="C134" t="s">
        <v>14</v>
      </c>
      <c r="D134" t="s">
        <v>20</v>
      </c>
      <c r="E134" t="s">
        <v>15</v>
      </c>
      <c r="F134">
        <v>87</v>
      </c>
      <c r="G134">
        <v>74</v>
      </c>
      <c r="H134">
        <v>70</v>
      </c>
    </row>
    <row r="135" spans="1:8" x14ac:dyDescent="0.25">
      <c r="A135" t="s">
        <v>8</v>
      </c>
      <c r="B135" t="s">
        <v>13</v>
      </c>
      <c r="C135" t="s">
        <v>14</v>
      </c>
      <c r="D135" t="s">
        <v>11</v>
      </c>
      <c r="E135" t="s">
        <v>15</v>
      </c>
      <c r="F135">
        <v>75</v>
      </c>
      <c r="G135">
        <v>81</v>
      </c>
      <c r="H135">
        <v>84</v>
      </c>
    </row>
    <row r="136" spans="1:8" x14ac:dyDescent="0.25">
      <c r="A136" t="s">
        <v>17</v>
      </c>
      <c r="B136" t="s">
        <v>21</v>
      </c>
      <c r="C136" t="s">
        <v>10</v>
      </c>
      <c r="D136" t="s">
        <v>20</v>
      </c>
      <c r="E136" t="s">
        <v>15</v>
      </c>
      <c r="F136">
        <v>74</v>
      </c>
      <c r="G136">
        <v>79</v>
      </c>
      <c r="H136">
        <v>75</v>
      </c>
    </row>
    <row r="137" spans="1:8" x14ac:dyDescent="0.25">
      <c r="A137" t="s">
        <v>17</v>
      </c>
      <c r="B137" t="s">
        <v>13</v>
      </c>
      <c r="C137" t="s">
        <v>10</v>
      </c>
      <c r="D137" t="s">
        <v>11</v>
      </c>
      <c r="E137" t="s">
        <v>12</v>
      </c>
      <c r="F137">
        <v>58</v>
      </c>
      <c r="G137">
        <v>55</v>
      </c>
      <c r="H137">
        <v>48</v>
      </c>
    </row>
    <row r="138" spans="1:8" x14ac:dyDescent="0.25">
      <c r="A138" t="s">
        <v>17</v>
      </c>
      <c r="B138" t="s">
        <v>9</v>
      </c>
      <c r="C138" t="s">
        <v>23</v>
      </c>
      <c r="D138" t="s">
        <v>11</v>
      </c>
      <c r="E138" t="s">
        <v>15</v>
      </c>
      <c r="F138">
        <v>51</v>
      </c>
      <c r="G138">
        <v>54</v>
      </c>
      <c r="H138">
        <v>41</v>
      </c>
    </row>
    <row r="139" spans="1:8" x14ac:dyDescent="0.25">
      <c r="A139" t="s">
        <v>17</v>
      </c>
      <c r="B139" t="s">
        <v>24</v>
      </c>
      <c r="C139" t="s">
        <v>22</v>
      </c>
      <c r="D139" t="s">
        <v>11</v>
      </c>
      <c r="E139" t="s">
        <v>12</v>
      </c>
      <c r="F139">
        <v>70</v>
      </c>
      <c r="G139">
        <v>55</v>
      </c>
      <c r="H139">
        <v>56</v>
      </c>
    </row>
    <row r="140" spans="1:8" x14ac:dyDescent="0.25">
      <c r="A140" t="s">
        <v>8</v>
      </c>
      <c r="B140" t="s">
        <v>13</v>
      </c>
      <c r="C140" t="s">
        <v>19</v>
      </c>
      <c r="D140" t="s">
        <v>11</v>
      </c>
      <c r="E140" t="s">
        <v>12</v>
      </c>
      <c r="F140">
        <v>59</v>
      </c>
      <c r="G140">
        <v>66</v>
      </c>
      <c r="H140">
        <v>67</v>
      </c>
    </row>
    <row r="141" spans="1:8" x14ac:dyDescent="0.25">
      <c r="A141" t="s">
        <v>17</v>
      </c>
      <c r="B141" t="s">
        <v>21</v>
      </c>
      <c r="C141" t="s">
        <v>14</v>
      </c>
      <c r="D141" t="s">
        <v>11</v>
      </c>
      <c r="E141" t="s">
        <v>15</v>
      </c>
      <c r="F141">
        <v>71</v>
      </c>
      <c r="G141">
        <v>61</v>
      </c>
      <c r="H141">
        <v>69</v>
      </c>
    </row>
    <row r="142" spans="1:8" x14ac:dyDescent="0.25">
      <c r="A142" t="s">
        <v>8</v>
      </c>
      <c r="B142" t="s">
        <v>21</v>
      </c>
      <c r="C142" t="s">
        <v>23</v>
      </c>
      <c r="D142" t="s">
        <v>11</v>
      </c>
      <c r="E142" t="s">
        <v>12</v>
      </c>
      <c r="F142">
        <v>76</v>
      </c>
      <c r="G142">
        <v>72</v>
      </c>
      <c r="H142">
        <v>71</v>
      </c>
    </row>
    <row r="143" spans="1:8" x14ac:dyDescent="0.25">
      <c r="A143" t="s">
        <v>8</v>
      </c>
      <c r="B143" t="s">
        <v>13</v>
      </c>
      <c r="C143" t="s">
        <v>14</v>
      </c>
      <c r="D143" t="s">
        <v>20</v>
      </c>
      <c r="E143" t="s">
        <v>12</v>
      </c>
      <c r="F143">
        <v>59</v>
      </c>
      <c r="G143">
        <v>62</v>
      </c>
      <c r="H143">
        <v>64</v>
      </c>
    </row>
    <row r="144" spans="1:8" x14ac:dyDescent="0.25">
      <c r="A144" t="s">
        <v>8</v>
      </c>
      <c r="B144" t="s">
        <v>24</v>
      </c>
      <c r="C144" t="s">
        <v>14</v>
      </c>
      <c r="D144" t="s">
        <v>20</v>
      </c>
      <c r="E144" t="s">
        <v>15</v>
      </c>
      <c r="F144">
        <v>42</v>
      </c>
      <c r="G144">
        <v>55</v>
      </c>
      <c r="H144">
        <v>54</v>
      </c>
    </row>
    <row r="145" spans="1:8" x14ac:dyDescent="0.25">
      <c r="A145" t="s">
        <v>17</v>
      </c>
      <c r="B145" t="s">
        <v>18</v>
      </c>
      <c r="C145" t="s">
        <v>22</v>
      </c>
      <c r="D145" t="s">
        <v>11</v>
      </c>
      <c r="E145" t="s">
        <v>12</v>
      </c>
      <c r="F145">
        <v>57</v>
      </c>
      <c r="G145">
        <v>43</v>
      </c>
      <c r="H145">
        <v>47</v>
      </c>
    </row>
    <row r="146" spans="1:8" x14ac:dyDescent="0.25">
      <c r="A146" t="s">
        <v>17</v>
      </c>
      <c r="B146" t="s">
        <v>21</v>
      </c>
      <c r="C146" t="s">
        <v>14</v>
      </c>
      <c r="D146" t="s">
        <v>11</v>
      </c>
      <c r="E146" t="s">
        <v>12</v>
      </c>
      <c r="F146">
        <v>88</v>
      </c>
      <c r="G146">
        <v>73</v>
      </c>
      <c r="H146">
        <v>78</v>
      </c>
    </row>
    <row r="147" spans="1:8" x14ac:dyDescent="0.25">
      <c r="A147" t="s">
        <v>8</v>
      </c>
      <c r="B147" t="s">
        <v>13</v>
      </c>
      <c r="C147" t="s">
        <v>14</v>
      </c>
      <c r="D147" t="s">
        <v>20</v>
      </c>
      <c r="E147" t="s">
        <v>12</v>
      </c>
      <c r="F147">
        <v>22</v>
      </c>
      <c r="G147">
        <v>39</v>
      </c>
      <c r="H147">
        <v>33</v>
      </c>
    </row>
    <row r="148" spans="1:8" x14ac:dyDescent="0.25">
      <c r="A148" t="s">
        <v>17</v>
      </c>
      <c r="B148" t="s">
        <v>9</v>
      </c>
      <c r="C148" t="s">
        <v>23</v>
      </c>
      <c r="D148" t="s">
        <v>11</v>
      </c>
      <c r="E148" t="s">
        <v>12</v>
      </c>
      <c r="F148">
        <v>88</v>
      </c>
      <c r="G148">
        <v>84</v>
      </c>
      <c r="H148">
        <v>75</v>
      </c>
    </row>
    <row r="149" spans="1:8" x14ac:dyDescent="0.25">
      <c r="A149" t="s">
        <v>17</v>
      </c>
      <c r="B149" t="s">
        <v>13</v>
      </c>
      <c r="C149" t="s">
        <v>19</v>
      </c>
      <c r="D149" t="s">
        <v>20</v>
      </c>
      <c r="E149" t="s">
        <v>12</v>
      </c>
      <c r="F149">
        <v>73</v>
      </c>
      <c r="G149">
        <v>68</v>
      </c>
      <c r="H149">
        <v>66</v>
      </c>
    </row>
    <row r="150" spans="1:8" x14ac:dyDescent="0.25">
      <c r="A150" t="s">
        <v>8</v>
      </c>
      <c r="B150" t="s">
        <v>21</v>
      </c>
      <c r="C150" t="s">
        <v>10</v>
      </c>
      <c r="D150" t="s">
        <v>11</v>
      </c>
      <c r="E150" t="s">
        <v>15</v>
      </c>
      <c r="F150">
        <v>68</v>
      </c>
      <c r="G150">
        <v>75</v>
      </c>
      <c r="H150">
        <v>81</v>
      </c>
    </row>
    <row r="151" spans="1:8" x14ac:dyDescent="0.25">
      <c r="A151" t="s">
        <v>17</v>
      </c>
      <c r="B151" t="s">
        <v>24</v>
      </c>
      <c r="C151" t="s">
        <v>19</v>
      </c>
      <c r="D151" t="s">
        <v>20</v>
      </c>
      <c r="E151" t="s">
        <v>15</v>
      </c>
      <c r="F151">
        <v>100</v>
      </c>
      <c r="G151">
        <v>100</v>
      </c>
      <c r="H151">
        <v>93</v>
      </c>
    </row>
    <row r="152" spans="1:8" x14ac:dyDescent="0.25">
      <c r="A152" t="s">
        <v>17</v>
      </c>
      <c r="B152" t="s">
        <v>18</v>
      </c>
      <c r="C152" t="s">
        <v>23</v>
      </c>
      <c r="D152" t="s">
        <v>11</v>
      </c>
      <c r="E152" t="s">
        <v>15</v>
      </c>
      <c r="F152">
        <v>62</v>
      </c>
      <c r="G152">
        <v>67</v>
      </c>
      <c r="H152">
        <v>69</v>
      </c>
    </row>
    <row r="153" spans="1:8" x14ac:dyDescent="0.25">
      <c r="A153" t="s">
        <v>17</v>
      </c>
      <c r="B153" t="s">
        <v>18</v>
      </c>
      <c r="C153" t="s">
        <v>10</v>
      </c>
      <c r="D153" t="s">
        <v>11</v>
      </c>
      <c r="E153" t="s">
        <v>12</v>
      </c>
      <c r="F153">
        <v>77</v>
      </c>
      <c r="G153">
        <v>67</v>
      </c>
      <c r="H153">
        <v>68</v>
      </c>
    </row>
    <row r="154" spans="1:8" x14ac:dyDescent="0.25">
      <c r="A154" t="s">
        <v>8</v>
      </c>
      <c r="B154" t="s">
        <v>9</v>
      </c>
      <c r="C154" t="s">
        <v>19</v>
      </c>
      <c r="D154" t="s">
        <v>11</v>
      </c>
      <c r="E154" t="s">
        <v>15</v>
      </c>
      <c r="F154">
        <v>59</v>
      </c>
      <c r="G154">
        <v>70</v>
      </c>
      <c r="H154">
        <v>66</v>
      </c>
    </row>
    <row r="155" spans="1:8" x14ac:dyDescent="0.25">
      <c r="A155" t="s">
        <v>17</v>
      </c>
      <c r="B155" t="s">
        <v>21</v>
      </c>
      <c r="C155" t="s">
        <v>10</v>
      </c>
      <c r="D155" t="s">
        <v>11</v>
      </c>
      <c r="E155" t="s">
        <v>12</v>
      </c>
      <c r="F155">
        <v>54</v>
      </c>
      <c r="G155">
        <v>49</v>
      </c>
      <c r="H155">
        <v>47</v>
      </c>
    </row>
    <row r="156" spans="1:8" x14ac:dyDescent="0.25">
      <c r="A156" t="s">
        <v>17</v>
      </c>
      <c r="B156" t="s">
        <v>21</v>
      </c>
      <c r="C156" t="s">
        <v>23</v>
      </c>
      <c r="D156" t="s">
        <v>11</v>
      </c>
      <c r="E156" t="s">
        <v>12</v>
      </c>
      <c r="F156">
        <v>62</v>
      </c>
      <c r="G156">
        <v>67</v>
      </c>
      <c r="H156">
        <v>61</v>
      </c>
    </row>
    <row r="157" spans="1:8" x14ac:dyDescent="0.25">
      <c r="A157" t="s">
        <v>8</v>
      </c>
      <c r="B157" t="s">
        <v>13</v>
      </c>
      <c r="C157" t="s">
        <v>14</v>
      </c>
      <c r="D157" t="s">
        <v>11</v>
      </c>
      <c r="E157" t="s">
        <v>15</v>
      </c>
      <c r="F157">
        <v>70</v>
      </c>
      <c r="G157">
        <v>89</v>
      </c>
      <c r="H157">
        <v>88</v>
      </c>
    </row>
    <row r="158" spans="1:8" x14ac:dyDescent="0.25">
      <c r="A158" t="s">
        <v>8</v>
      </c>
      <c r="B158" t="s">
        <v>24</v>
      </c>
      <c r="C158" t="s">
        <v>22</v>
      </c>
      <c r="D158" t="s">
        <v>20</v>
      </c>
      <c r="E158" t="s">
        <v>15</v>
      </c>
      <c r="F158">
        <v>66</v>
      </c>
      <c r="G158">
        <v>74</v>
      </c>
      <c r="H158">
        <v>78</v>
      </c>
    </row>
    <row r="159" spans="1:8" x14ac:dyDescent="0.25">
      <c r="A159" t="s">
        <v>17</v>
      </c>
      <c r="B159" t="s">
        <v>9</v>
      </c>
      <c r="C159" t="s">
        <v>14</v>
      </c>
      <c r="D159" t="s">
        <v>20</v>
      </c>
      <c r="E159" t="s">
        <v>12</v>
      </c>
      <c r="F159">
        <v>60</v>
      </c>
      <c r="G159">
        <v>60</v>
      </c>
      <c r="H159">
        <v>60</v>
      </c>
    </row>
    <row r="160" spans="1:8" x14ac:dyDescent="0.25">
      <c r="A160" t="s">
        <v>8</v>
      </c>
      <c r="B160" t="s">
        <v>9</v>
      </c>
      <c r="C160" t="s">
        <v>19</v>
      </c>
      <c r="D160" t="s">
        <v>11</v>
      </c>
      <c r="E160" t="s">
        <v>15</v>
      </c>
      <c r="F160">
        <v>61</v>
      </c>
      <c r="G160">
        <v>86</v>
      </c>
      <c r="H160">
        <v>87</v>
      </c>
    </row>
    <row r="161" spans="1:8" x14ac:dyDescent="0.25">
      <c r="A161" t="s">
        <v>17</v>
      </c>
      <c r="B161" t="s">
        <v>21</v>
      </c>
      <c r="C161" t="s">
        <v>19</v>
      </c>
      <c r="D161" t="s">
        <v>20</v>
      </c>
      <c r="E161" t="s">
        <v>12</v>
      </c>
      <c r="F161">
        <v>66</v>
      </c>
      <c r="G161">
        <v>62</v>
      </c>
      <c r="H161">
        <v>64</v>
      </c>
    </row>
    <row r="162" spans="1:8" x14ac:dyDescent="0.25">
      <c r="A162" t="s">
        <v>17</v>
      </c>
      <c r="B162" t="s">
        <v>9</v>
      </c>
      <c r="C162" t="s">
        <v>19</v>
      </c>
      <c r="D162" t="s">
        <v>20</v>
      </c>
      <c r="E162" t="s">
        <v>15</v>
      </c>
      <c r="F162">
        <v>82</v>
      </c>
      <c r="G162">
        <v>78</v>
      </c>
      <c r="H162">
        <v>74</v>
      </c>
    </row>
    <row r="163" spans="1:8" x14ac:dyDescent="0.25">
      <c r="A163" t="s">
        <v>8</v>
      </c>
      <c r="B163" t="s">
        <v>24</v>
      </c>
      <c r="C163" t="s">
        <v>14</v>
      </c>
      <c r="D163" t="s">
        <v>20</v>
      </c>
      <c r="E163" t="s">
        <v>15</v>
      </c>
      <c r="F163">
        <v>75</v>
      </c>
      <c r="G163">
        <v>88</v>
      </c>
      <c r="H163">
        <v>85</v>
      </c>
    </row>
    <row r="164" spans="1:8" x14ac:dyDescent="0.25">
      <c r="A164" t="s">
        <v>17</v>
      </c>
      <c r="B164" t="s">
        <v>9</v>
      </c>
      <c r="C164" t="s">
        <v>16</v>
      </c>
      <c r="D164" t="s">
        <v>20</v>
      </c>
      <c r="E164" t="s">
        <v>12</v>
      </c>
      <c r="F164">
        <v>49</v>
      </c>
      <c r="G164">
        <v>53</v>
      </c>
      <c r="H164">
        <v>52</v>
      </c>
    </row>
    <row r="165" spans="1:8" x14ac:dyDescent="0.25">
      <c r="A165" t="s">
        <v>17</v>
      </c>
      <c r="B165" t="s">
        <v>13</v>
      </c>
      <c r="C165" t="s">
        <v>22</v>
      </c>
      <c r="D165" t="s">
        <v>11</v>
      </c>
      <c r="E165" t="s">
        <v>12</v>
      </c>
      <c r="F165">
        <v>52</v>
      </c>
      <c r="G165">
        <v>53</v>
      </c>
      <c r="H165">
        <v>49</v>
      </c>
    </row>
    <row r="166" spans="1:8" x14ac:dyDescent="0.25">
      <c r="A166" t="s">
        <v>8</v>
      </c>
      <c r="B166" t="s">
        <v>24</v>
      </c>
      <c r="C166" t="s">
        <v>16</v>
      </c>
      <c r="D166" t="s">
        <v>11</v>
      </c>
      <c r="E166" t="s">
        <v>12</v>
      </c>
      <c r="F166">
        <v>81</v>
      </c>
      <c r="G166">
        <v>92</v>
      </c>
      <c r="H166">
        <v>91</v>
      </c>
    </row>
    <row r="167" spans="1:8" x14ac:dyDescent="0.25">
      <c r="A167" t="s">
        <v>8</v>
      </c>
      <c r="B167" t="s">
        <v>13</v>
      </c>
      <c r="C167" t="s">
        <v>10</v>
      </c>
      <c r="D167" t="s">
        <v>11</v>
      </c>
      <c r="E167" t="s">
        <v>15</v>
      </c>
      <c r="F167">
        <v>96</v>
      </c>
      <c r="G167">
        <v>100</v>
      </c>
      <c r="H167">
        <v>100</v>
      </c>
    </row>
    <row r="168" spans="1:8" x14ac:dyDescent="0.25">
      <c r="A168" t="s">
        <v>17</v>
      </c>
      <c r="B168" t="s">
        <v>13</v>
      </c>
      <c r="C168" t="s">
        <v>22</v>
      </c>
      <c r="D168" t="s">
        <v>20</v>
      </c>
      <c r="E168" t="s">
        <v>15</v>
      </c>
      <c r="F168">
        <v>53</v>
      </c>
      <c r="G168">
        <v>51</v>
      </c>
      <c r="H168">
        <v>51</v>
      </c>
    </row>
    <row r="169" spans="1:8" x14ac:dyDescent="0.25">
      <c r="A169" t="s">
        <v>8</v>
      </c>
      <c r="B169" t="s">
        <v>9</v>
      </c>
      <c r="C169" t="s">
        <v>16</v>
      </c>
      <c r="D169" t="s">
        <v>20</v>
      </c>
      <c r="E169" t="s">
        <v>15</v>
      </c>
      <c r="F169">
        <v>58</v>
      </c>
      <c r="G169">
        <v>76</v>
      </c>
      <c r="H169">
        <v>78</v>
      </c>
    </row>
    <row r="170" spans="1:8" x14ac:dyDescent="0.25">
      <c r="A170" t="s">
        <v>8</v>
      </c>
      <c r="B170" t="s">
        <v>9</v>
      </c>
      <c r="C170" t="s">
        <v>22</v>
      </c>
      <c r="D170" t="s">
        <v>11</v>
      </c>
      <c r="E170" t="s">
        <v>15</v>
      </c>
      <c r="F170">
        <v>68</v>
      </c>
      <c r="G170">
        <v>83</v>
      </c>
      <c r="H170">
        <v>78</v>
      </c>
    </row>
    <row r="171" spans="1:8" x14ac:dyDescent="0.25">
      <c r="A171" t="s">
        <v>8</v>
      </c>
      <c r="B171" t="s">
        <v>13</v>
      </c>
      <c r="C171" t="s">
        <v>14</v>
      </c>
      <c r="D171" t="s">
        <v>20</v>
      </c>
      <c r="E171" t="s">
        <v>15</v>
      </c>
      <c r="F171">
        <v>67</v>
      </c>
      <c r="G171">
        <v>75</v>
      </c>
      <c r="H171">
        <v>70</v>
      </c>
    </row>
    <row r="172" spans="1:8" x14ac:dyDescent="0.25">
      <c r="A172" t="s">
        <v>17</v>
      </c>
      <c r="B172" t="s">
        <v>18</v>
      </c>
      <c r="C172" t="s">
        <v>22</v>
      </c>
      <c r="D172" t="s">
        <v>11</v>
      </c>
      <c r="E172" t="s">
        <v>15</v>
      </c>
      <c r="F172">
        <v>72</v>
      </c>
      <c r="G172">
        <v>73</v>
      </c>
      <c r="H172">
        <v>74</v>
      </c>
    </row>
    <row r="173" spans="1:8" x14ac:dyDescent="0.25">
      <c r="A173" t="s">
        <v>17</v>
      </c>
      <c r="B173" t="s">
        <v>24</v>
      </c>
      <c r="C173" t="s">
        <v>23</v>
      </c>
      <c r="D173" t="s">
        <v>11</v>
      </c>
      <c r="E173" t="s">
        <v>12</v>
      </c>
      <c r="F173">
        <v>94</v>
      </c>
      <c r="G173">
        <v>88</v>
      </c>
      <c r="H173">
        <v>78</v>
      </c>
    </row>
    <row r="174" spans="1:8" x14ac:dyDescent="0.25">
      <c r="A174" t="s">
        <v>8</v>
      </c>
      <c r="B174" t="s">
        <v>21</v>
      </c>
      <c r="C174" t="s">
        <v>14</v>
      </c>
      <c r="D174" t="s">
        <v>11</v>
      </c>
      <c r="E174" t="s">
        <v>12</v>
      </c>
      <c r="F174">
        <v>79</v>
      </c>
      <c r="G174">
        <v>86</v>
      </c>
      <c r="H174">
        <v>81</v>
      </c>
    </row>
    <row r="175" spans="1:8" x14ac:dyDescent="0.25">
      <c r="A175" t="s">
        <v>8</v>
      </c>
      <c r="B175" t="s">
        <v>13</v>
      </c>
      <c r="C175" t="s">
        <v>19</v>
      </c>
      <c r="D175" t="s">
        <v>11</v>
      </c>
      <c r="E175" t="s">
        <v>12</v>
      </c>
      <c r="F175">
        <v>63</v>
      </c>
      <c r="G175">
        <v>67</v>
      </c>
      <c r="H175">
        <v>70</v>
      </c>
    </row>
    <row r="176" spans="1:8" x14ac:dyDescent="0.25">
      <c r="A176" t="s">
        <v>8</v>
      </c>
      <c r="B176" t="s">
        <v>13</v>
      </c>
      <c r="C176" t="s">
        <v>10</v>
      </c>
      <c r="D176" t="s">
        <v>20</v>
      </c>
      <c r="E176" t="s">
        <v>15</v>
      </c>
      <c r="F176">
        <v>43</v>
      </c>
      <c r="G176">
        <v>51</v>
      </c>
      <c r="H176">
        <v>54</v>
      </c>
    </row>
    <row r="177" spans="1:8" x14ac:dyDescent="0.25">
      <c r="A177" t="s">
        <v>8</v>
      </c>
      <c r="B177" t="s">
        <v>13</v>
      </c>
      <c r="C177" t="s">
        <v>16</v>
      </c>
      <c r="D177" t="s">
        <v>11</v>
      </c>
      <c r="E177" t="s">
        <v>15</v>
      </c>
      <c r="F177">
        <v>81</v>
      </c>
      <c r="G177">
        <v>91</v>
      </c>
      <c r="H177">
        <v>87</v>
      </c>
    </row>
    <row r="178" spans="1:8" x14ac:dyDescent="0.25">
      <c r="A178" t="s">
        <v>8</v>
      </c>
      <c r="B178" t="s">
        <v>9</v>
      </c>
      <c r="C178" t="s">
        <v>22</v>
      </c>
      <c r="D178" t="s">
        <v>20</v>
      </c>
      <c r="E178" t="s">
        <v>15</v>
      </c>
      <c r="F178">
        <v>46</v>
      </c>
      <c r="G178">
        <v>54</v>
      </c>
      <c r="H178">
        <v>58</v>
      </c>
    </row>
    <row r="179" spans="1:8" x14ac:dyDescent="0.25">
      <c r="A179" t="s">
        <v>8</v>
      </c>
      <c r="B179" t="s">
        <v>13</v>
      </c>
      <c r="C179" t="s">
        <v>19</v>
      </c>
      <c r="D179" t="s">
        <v>11</v>
      </c>
      <c r="E179" t="s">
        <v>15</v>
      </c>
      <c r="F179">
        <v>71</v>
      </c>
      <c r="G179">
        <v>77</v>
      </c>
      <c r="H179">
        <v>77</v>
      </c>
    </row>
    <row r="180" spans="1:8" x14ac:dyDescent="0.25">
      <c r="A180" t="s">
        <v>8</v>
      </c>
      <c r="B180" t="s">
        <v>9</v>
      </c>
      <c r="C180" t="s">
        <v>16</v>
      </c>
      <c r="D180" t="s">
        <v>20</v>
      </c>
      <c r="E180" t="s">
        <v>15</v>
      </c>
      <c r="F180">
        <v>52</v>
      </c>
      <c r="G180">
        <v>70</v>
      </c>
      <c r="H180">
        <v>62</v>
      </c>
    </row>
    <row r="181" spans="1:8" x14ac:dyDescent="0.25">
      <c r="A181" t="s">
        <v>8</v>
      </c>
      <c r="B181" t="s">
        <v>21</v>
      </c>
      <c r="C181" t="s">
        <v>23</v>
      </c>
      <c r="D181" t="s">
        <v>11</v>
      </c>
      <c r="E181" t="s">
        <v>15</v>
      </c>
      <c r="F181">
        <v>97</v>
      </c>
      <c r="G181">
        <v>100</v>
      </c>
      <c r="H181">
        <v>100</v>
      </c>
    </row>
    <row r="182" spans="1:8" x14ac:dyDescent="0.25">
      <c r="A182" t="s">
        <v>17</v>
      </c>
      <c r="B182" t="s">
        <v>13</v>
      </c>
      <c r="C182" t="s">
        <v>16</v>
      </c>
      <c r="D182" t="s">
        <v>20</v>
      </c>
      <c r="E182" t="s">
        <v>15</v>
      </c>
      <c r="F182">
        <v>62</v>
      </c>
      <c r="G182">
        <v>68</v>
      </c>
      <c r="H182">
        <v>75</v>
      </c>
    </row>
    <row r="183" spans="1:8" x14ac:dyDescent="0.25">
      <c r="A183" t="s">
        <v>8</v>
      </c>
      <c r="B183" t="s">
        <v>13</v>
      </c>
      <c r="C183" t="s">
        <v>14</v>
      </c>
      <c r="D183" t="s">
        <v>20</v>
      </c>
      <c r="E183" t="s">
        <v>12</v>
      </c>
      <c r="F183">
        <v>46</v>
      </c>
      <c r="G183">
        <v>64</v>
      </c>
      <c r="H183">
        <v>66</v>
      </c>
    </row>
    <row r="184" spans="1:8" x14ac:dyDescent="0.25">
      <c r="A184" t="s">
        <v>8</v>
      </c>
      <c r="B184" t="s">
        <v>24</v>
      </c>
      <c r="C184" t="s">
        <v>22</v>
      </c>
      <c r="D184" t="s">
        <v>11</v>
      </c>
      <c r="E184" t="s">
        <v>12</v>
      </c>
      <c r="F184">
        <v>50</v>
      </c>
      <c r="G184">
        <v>50</v>
      </c>
      <c r="H184">
        <v>47</v>
      </c>
    </row>
    <row r="185" spans="1:8" x14ac:dyDescent="0.25">
      <c r="A185" t="s">
        <v>8</v>
      </c>
      <c r="B185" t="s">
        <v>21</v>
      </c>
      <c r="C185" t="s">
        <v>19</v>
      </c>
      <c r="D185" t="s">
        <v>11</v>
      </c>
      <c r="E185" t="s">
        <v>12</v>
      </c>
      <c r="F185">
        <v>65</v>
      </c>
      <c r="G185">
        <v>69</v>
      </c>
      <c r="H185">
        <v>70</v>
      </c>
    </row>
    <row r="186" spans="1:8" x14ac:dyDescent="0.25">
      <c r="A186" t="s">
        <v>17</v>
      </c>
      <c r="B186" t="s">
        <v>13</v>
      </c>
      <c r="C186" t="s">
        <v>23</v>
      </c>
      <c r="D186" t="s">
        <v>20</v>
      </c>
      <c r="E186" t="s">
        <v>15</v>
      </c>
      <c r="F186">
        <v>45</v>
      </c>
      <c r="G186">
        <v>52</v>
      </c>
      <c r="H186">
        <v>49</v>
      </c>
    </row>
    <row r="187" spans="1:8" x14ac:dyDescent="0.25">
      <c r="A187" t="s">
        <v>17</v>
      </c>
      <c r="B187" t="s">
        <v>13</v>
      </c>
      <c r="C187" t="s">
        <v>19</v>
      </c>
      <c r="D187" t="s">
        <v>20</v>
      </c>
      <c r="E187" t="s">
        <v>15</v>
      </c>
      <c r="F187">
        <v>65</v>
      </c>
      <c r="G187">
        <v>67</v>
      </c>
      <c r="H187">
        <v>65</v>
      </c>
    </row>
    <row r="188" spans="1:8" x14ac:dyDescent="0.25">
      <c r="A188" t="s">
        <v>17</v>
      </c>
      <c r="B188" t="s">
        <v>24</v>
      </c>
      <c r="C188" t="s">
        <v>22</v>
      </c>
      <c r="D188" t="s">
        <v>11</v>
      </c>
      <c r="E188" t="s">
        <v>12</v>
      </c>
      <c r="F188">
        <v>80</v>
      </c>
      <c r="G188">
        <v>76</v>
      </c>
      <c r="H188">
        <v>65</v>
      </c>
    </row>
    <row r="189" spans="1:8" x14ac:dyDescent="0.25">
      <c r="A189" t="s">
        <v>17</v>
      </c>
      <c r="B189" t="s">
        <v>21</v>
      </c>
      <c r="C189" t="s">
        <v>23</v>
      </c>
      <c r="D189" t="s">
        <v>11</v>
      </c>
      <c r="E189" t="s">
        <v>15</v>
      </c>
      <c r="F189">
        <v>62</v>
      </c>
      <c r="G189">
        <v>66</v>
      </c>
      <c r="H189">
        <v>68</v>
      </c>
    </row>
    <row r="190" spans="1:8" x14ac:dyDescent="0.25">
      <c r="A190" t="s">
        <v>17</v>
      </c>
      <c r="B190" t="s">
        <v>9</v>
      </c>
      <c r="C190" t="s">
        <v>23</v>
      </c>
      <c r="D190" t="s">
        <v>20</v>
      </c>
      <c r="E190" t="s">
        <v>12</v>
      </c>
      <c r="F190">
        <v>48</v>
      </c>
      <c r="G190">
        <v>52</v>
      </c>
      <c r="H190">
        <v>45</v>
      </c>
    </row>
    <row r="191" spans="1:8" x14ac:dyDescent="0.25">
      <c r="A191" t="s">
        <v>8</v>
      </c>
      <c r="B191" t="s">
        <v>13</v>
      </c>
      <c r="C191" t="s">
        <v>10</v>
      </c>
      <c r="D191" t="s">
        <v>11</v>
      </c>
      <c r="E191" t="s">
        <v>12</v>
      </c>
      <c r="F191">
        <v>77</v>
      </c>
      <c r="G191">
        <v>88</v>
      </c>
      <c r="H191">
        <v>87</v>
      </c>
    </row>
    <row r="192" spans="1:8" x14ac:dyDescent="0.25">
      <c r="A192" t="s">
        <v>8</v>
      </c>
      <c r="B192" t="s">
        <v>24</v>
      </c>
      <c r="C192" t="s">
        <v>19</v>
      </c>
      <c r="D192" t="s">
        <v>11</v>
      </c>
      <c r="E192" t="s">
        <v>12</v>
      </c>
      <c r="F192">
        <v>66</v>
      </c>
      <c r="G192">
        <v>65</v>
      </c>
      <c r="H192">
        <v>69</v>
      </c>
    </row>
    <row r="193" spans="1:8" x14ac:dyDescent="0.25">
      <c r="A193" t="s">
        <v>17</v>
      </c>
      <c r="B193" t="s">
        <v>21</v>
      </c>
      <c r="C193" t="s">
        <v>14</v>
      </c>
      <c r="D193" t="s">
        <v>11</v>
      </c>
      <c r="E193" t="s">
        <v>15</v>
      </c>
      <c r="F193">
        <v>76</v>
      </c>
      <c r="G193">
        <v>83</v>
      </c>
      <c r="H193">
        <v>79</v>
      </c>
    </row>
    <row r="194" spans="1:8" x14ac:dyDescent="0.25">
      <c r="A194" t="s">
        <v>8</v>
      </c>
      <c r="B194" t="s">
        <v>9</v>
      </c>
      <c r="C194" t="s">
        <v>23</v>
      </c>
      <c r="D194" t="s">
        <v>11</v>
      </c>
      <c r="E194" t="s">
        <v>12</v>
      </c>
      <c r="F194">
        <v>62</v>
      </c>
      <c r="G194">
        <v>64</v>
      </c>
      <c r="H194">
        <v>66</v>
      </c>
    </row>
    <row r="195" spans="1:8" x14ac:dyDescent="0.25">
      <c r="A195" t="s">
        <v>17</v>
      </c>
      <c r="B195" t="s">
        <v>21</v>
      </c>
      <c r="C195" t="s">
        <v>14</v>
      </c>
      <c r="D195" t="s">
        <v>11</v>
      </c>
      <c r="E195" t="s">
        <v>15</v>
      </c>
      <c r="F195">
        <v>77</v>
      </c>
      <c r="G195">
        <v>62</v>
      </c>
      <c r="H195">
        <v>62</v>
      </c>
    </row>
    <row r="196" spans="1:8" x14ac:dyDescent="0.25">
      <c r="A196" t="s">
        <v>8</v>
      </c>
      <c r="B196" t="s">
        <v>13</v>
      </c>
      <c r="C196" t="s">
        <v>16</v>
      </c>
      <c r="D196" t="s">
        <v>11</v>
      </c>
      <c r="E196" t="s">
        <v>15</v>
      </c>
      <c r="F196">
        <v>69</v>
      </c>
      <c r="G196">
        <v>84</v>
      </c>
      <c r="H196">
        <v>85</v>
      </c>
    </row>
    <row r="197" spans="1:8" x14ac:dyDescent="0.25">
      <c r="A197" t="s">
        <v>17</v>
      </c>
      <c r="B197" t="s">
        <v>21</v>
      </c>
      <c r="C197" t="s">
        <v>19</v>
      </c>
      <c r="D197" t="s">
        <v>11</v>
      </c>
      <c r="E197" t="s">
        <v>12</v>
      </c>
      <c r="F197">
        <v>61</v>
      </c>
      <c r="G197">
        <v>55</v>
      </c>
      <c r="H197">
        <v>52</v>
      </c>
    </row>
    <row r="198" spans="1:8" x14ac:dyDescent="0.25">
      <c r="A198" t="s">
        <v>17</v>
      </c>
      <c r="B198" t="s">
        <v>13</v>
      </c>
      <c r="C198" t="s">
        <v>23</v>
      </c>
      <c r="D198" t="s">
        <v>20</v>
      </c>
      <c r="E198" t="s">
        <v>15</v>
      </c>
      <c r="F198">
        <v>59</v>
      </c>
      <c r="G198">
        <v>69</v>
      </c>
      <c r="H198">
        <v>65</v>
      </c>
    </row>
    <row r="199" spans="1:8" x14ac:dyDescent="0.25">
      <c r="A199" t="s">
        <v>17</v>
      </c>
      <c r="B199" t="s">
        <v>24</v>
      </c>
      <c r="C199" t="s">
        <v>22</v>
      </c>
      <c r="D199" t="s">
        <v>20</v>
      </c>
      <c r="E199" t="s">
        <v>12</v>
      </c>
      <c r="F199">
        <v>55</v>
      </c>
      <c r="G199">
        <v>56</v>
      </c>
      <c r="H199">
        <v>51</v>
      </c>
    </row>
    <row r="200" spans="1:8" x14ac:dyDescent="0.25">
      <c r="A200" t="s">
        <v>8</v>
      </c>
      <c r="B200" t="s">
        <v>9</v>
      </c>
      <c r="C200" t="s">
        <v>14</v>
      </c>
      <c r="D200" t="s">
        <v>20</v>
      </c>
      <c r="E200" t="s">
        <v>12</v>
      </c>
      <c r="F200">
        <v>45</v>
      </c>
      <c r="G200">
        <v>53</v>
      </c>
      <c r="H200">
        <v>55</v>
      </c>
    </row>
    <row r="201" spans="1:8" x14ac:dyDescent="0.25">
      <c r="A201" t="s">
        <v>8</v>
      </c>
      <c r="B201" t="s">
        <v>9</v>
      </c>
      <c r="C201" t="s">
        <v>10</v>
      </c>
      <c r="D201" t="s">
        <v>20</v>
      </c>
      <c r="E201" t="s">
        <v>12</v>
      </c>
      <c r="F201">
        <v>78</v>
      </c>
      <c r="G201">
        <v>79</v>
      </c>
      <c r="H201">
        <v>76</v>
      </c>
    </row>
    <row r="202" spans="1:8" x14ac:dyDescent="0.25">
      <c r="A202" t="s">
        <v>8</v>
      </c>
      <c r="B202" t="s">
        <v>13</v>
      </c>
      <c r="C202" t="s">
        <v>19</v>
      </c>
      <c r="D202" t="s">
        <v>11</v>
      </c>
      <c r="E202" t="s">
        <v>15</v>
      </c>
      <c r="F202">
        <v>67</v>
      </c>
      <c r="G202">
        <v>84</v>
      </c>
      <c r="H202">
        <v>86</v>
      </c>
    </row>
    <row r="203" spans="1:8" x14ac:dyDescent="0.25">
      <c r="A203" t="s">
        <v>8</v>
      </c>
      <c r="B203" t="s">
        <v>21</v>
      </c>
      <c r="C203" t="s">
        <v>14</v>
      </c>
      <c r="D203" t="s">
        <v>20</v>
      </c>
      <c r="E203" t="s">
        <v>12</v>
      </c>
      <c r="F203">
        <v>65</v>
      </c>
      <c r="G203">
        <v>81</v>
      </c>
      <c r="H203">
        <v>77</v>
      </c>
    </row>
    <row r="204" spans="1:8" x14ac:dyDescent="0.25">
      <c r="A204" t="s">
        <v>17</v>
      </c>
      <c r="B204" t="s">
        <v>13</v>
      </c>
      <c r="C204" t="s">
        <v>19</v>
      </c>
      <c r="D204" t="s">
        <v>11</v>
      </c>
      <c r="E204" t="s">
        <v>12</v>
      </c>
      <c r="F204">
        <v>69</v>
      </c>
      <c r="G204">
        <v>77</v>
      </c>
      <c r="H204">
        <v>69</v>
      </c>
    </row>
    <row r="205" spans="1:8" x14ac:dyDescent="0.25">
      <c r="A205" t="s">
        <v>8</v>
      </c>
      <c r="B205" t="s">
        <v>9</v>
      </c>
      <c r="C205" t="s">
        <v>19</v>
      </c>
      <c r="D205" t="s">
        <v>11</v>
      </c>
      <c r="E205" t="s">
        <v>12</v>
      </c>
      <c r="F205">
        <v>57</v>
      </c>
      <c r="G205">
        <v>69</v>
      </c>
      <c r="H205">
        <v>68</v>
      </c>
    </row>
    <row r="206" spans="1:8" x14ac:dyDescent="0.25">
      <c r="A206" t="s">
        <v>17</v>
      </c>
      <c r="B206" t="s">
        <v>13</v>
      </c>
      <c r="C206" t="s">
        <v>14</v>
      </c>
      <c r="D206" t="s">
        <v>11</v>
      </c>
      <c r="E206" t="s">
        <v>12</v>
      </c>
      <c r="F206">
        <v>59</v>
      </c>
      <c r="G206">
        <v>41</v>
      </c>
      <c r="H206">
        <v>42</v>
      </c>
    </row>
    <row r="207" spans="1:8" x14ac:dyDescent="0.25">
      <c r="A207" t="s">
        <v>17</v>
      </c>
      <c r="B207" t="s">
        <v>21</v>
      </c>
      <c r="C207" t="s">
        <v>23</v>
      </c>
      <c r="D207" t="s">
        <v>11</v>
      </c>
      <c r="E207" t="s">
        <v>15</v>
      </c>
      <c r="F207">
        <v>74</v>
      </c>
      <c r="G207">
        <v>71</v>
      </c>
      <c r="H207">
        <v>78</v>
      </c>
    </row>
    <row r="208" spans="1:8" x14ac:dyDescent="0.25">
      <c r="A208" t="s">
        <v>17</v>
      </c>
      <c r="B208" t="s">
        <v>24</v>
      </c>
      <c r="C208" t="s">
        <v>10</v>
      </c>
      <c r="D208" t="s">
        <v>11</v>
      </c>
      <c r="E208" t="s">
        <v>12</v>
      </c>
      <c r="F208">
        <v>82</v>
      </c>
      <c r="G208">
        <v>62</v>
      </c>
      <c r="H208">
        <v>62</v>
      </c>
    </row>
    <row r="209" spans="1:8" x14ac:dyDescent="0.25">
      <c r="A209" t="s">
        <v>17</v>
      </c>
      <c r="B209" t="s">
        <v>24</v>
      </c>
      <c r="C209" t="s">
        <v>22</v>
      </c>
      <c r="D209" t="s">
        <v>11</v>
      </c>
      <c r="E209" t="s">
        <v>15</v>
      </c>
      <c r="F209">
        <v>81</v>
      </c>
      <c r="G209">
        <v>80</v>
      </c>
      <c r="H209">
        <v>76</v>
      </c>
    </row>
    <row r="210" spans="1:8" x14ac:dyDescent="0.25">
      <c r="A210" t="s">
        <v>8</v>
      </c>
      <c r="B210" t="s">
        <v>9</v>
      </c>
      <c r="C210" t="s">
        <v>14</v>
      </c>
      <c r="D210" t="s">
        <v>20</v>
      </c>
      <c r="E210" t="s">
        <v>12</v>
      </c>
      <c r="F210">
        <v>74</v>
      </c>
      <c r="G210">
        <v>81</v>
      </c>
      <c r="H210">
        <v>76</v>
      </c>
    </row>
    <row r="211" spans="1:8" x14ac:dyDescent="0.25">
      <c r="A211" t="s">
        <v>8</v>
      </c>
      <c r="B211" t="s">
        <v>9</v>
      </c>
      <c r="C211" t="s">
        <v>14</v>
      </c>
      <c r="D211" t="s">
        <v>20</v>
      </c>
      <c r="E211" t="s">
        <v>12</v>
      </c>
      <c r="F211">
        <v>58</v>
      </c>
      <c r="G211">
        <v>61</v>
      </c>
      <c r="H211">
        <v>66</v>
      </c>
    </row>
    <row r="212" spans="1:8" x14ac:dyDescent="0.25">
      <c r="A212" t="s">
        <v>17</v>
      </c>
      <c r="B212" t="s">
        <v>21</v>
      </c>
      <c r="C212" t="s">
        <v>23</v>
      </c>
      <c r="D212" t="s">
        <v>20</v>
      </c>
      <c r="E212" t="s">
        <v>15</v>
      </c>
      <c r="F212">
        <v>80</v>
      </c>
      <c r="G212">
        <v>79</v>
      </c>
      <c r="H212">
        <v>79</v>
      </c>
    </row>
    <row r="213" spans="1:8" x14ac:dyDescent="0.25">
      <c r="A213" t="s">
        <v>17</v>
      </c>
      <c r="B213" t="s">
        <v>13</v>
      </c>
      <c r="C213" t="s">
        <v>14</v>
      </c>
      <c r="D213" t="s">
        <v>20</v>
      </c>
      <c r="E213" t="s">
        <v>12</v>
      </c>
      <c r="F213">
        <v>35</v>
      </c>
      <c r="G213">
        <v>28</v>
      </c>
      <c r="H213">
        <v>27</v>
      </c>
    </row>
    <row r="214" spans="1:8" x14ac:dyDescent="0.25">
      <c r="A214" t="s">
        <v>8</v>
      </c>
      <c r="B214" t="s">
        <v>13</v>
      </c>
      <c r="C214" t="s">
        <v>22</v>
      </c>
      <c r="D214" t="s">
        <v>20</v>
      </c>
      <c r="E214" t="s">
        <v>12</v>
      </c>
      <c r="F214">
        <v>42</v>
      </c>
      <c r="G214">
        <v>62</v>
      </c>
      <c r="H214">
        <v>60</v>
      </c>
    </row>
    <row r="215" spans="1:8" x14ac:dyDescent="0.25">
      <c r="A215" t="s">
        <v>17</v>
      </c>
      <c r="B215" t="s">
        <v>13</v>
      </c>
      <c r="C215" t="s">
        <v>19</v>
      </c>
      <c r="D215" t="s">
        <v>20</v>
      </c>
      <c r="E215" t="s">
        <v>15</v>
      </c>
      <c r="F215">
        <v>60</v>
      </c>
      <c r="G215">
        <v>51</v>
      </c>
      <c r="H215">
        <v>56</v>
      </c>
    </row>
    <row r="216" spans="1:8" x14ac:dyDescent="0.25">
      <c r="A216" t="s">
        <v>17</v>
      </c>
      <c r="B216" t="s">
        <v>24</v>
      </c>
      <c r="C216" t="s">
        <v>22</v>
      </c>
      <c r="D216" t="s">
        <v>11</v>
      </c>
      <c r="E216" t="s">
        <v>15</v>
      </c>
      <c r="F216">
        <v>87</v>
      </c>
      <c r="G216">
        <v>91</v>
      </c>
      <c r="H216">
        <v>81</v>
      </c>
    </row>
    <row r="217" spans="1:8" x14ac:dyDescent="0.25">
      <c r="A217" t="s">
        <v>17</v>
      </c>
      <c r="B217" t="s">
        <v>9</v>
      </c>
      <c r="C217" t="s">
        <v>23</v>
      </c>
      <c r="D217" t="s">
        <v>11</v>
      </c>
      <c r="E217" t="s">
        <v>15</v>
      </c>
      <c r="F217">
        <v>84</v>
      </c>
      <c r="G217">
        <v>83</v>
      </c>
      <c r="H217">
        <v>75</v>
      </c>
    </row>
    <row r="218" spans="1:8" x14ac:dyDescent="0.25">
      <c r="A218" t="s">
        <v>8</v>
      </c>
      <c r="B218" t="s">
        <v>24</v>
      </c>
      <c r="C218" t="s">
        <v>19</v>
      </c>
      <c r="D218" t="s">
        <v>20</v>
      </c>
      <c r="E218" t="s">
        <v>15</v>
      </c>
      <c r="F218">
        <v>83</v>
      </c>
      <c r="G218">
        <v>86</v>
      </c>
      <c r="H218">
        <v>88</v>
      </c>
    </row>
    <row r="219" spans="1:8" x14ac:dyDescent="0.25">
      <c r="A219" t="s">
        <v>8</v>
      </c>
      <c r="B219" t="s">
        <v>13</v>
      </c>
      <c r="C219" t="s">
        <v>22</v>
      </c>
      <c r="D219" t="s">
        <v>20</v>
      </c>
      <c r="E219" t="s">
        <v>12</v>
      </c>
      <c r="F219">
        <v>34</v>
      </c>
      <c r="G219">
        <v>42</v>
      </c>
      <c r="H219">
        <v>39</v>
      </c>
    </row>
    <row r="220" spans="1:8" x14ac:dyDescent="0.25">
      <c r="A220" t="s">
        <v>17</v>
      </c>
      <c r="B220" t="s">
        <v>9</v>
      </c>
      <c r="C220" t="s">
        <v>22</v>
      </c>
      <c r="D220" t="s">
        <v>20</v>
      </c>
      <c r="E220" t="s">
        <v>12</v>
      </c>
      <c r="F220">
        <v>66</v>
      </c>
      <c r="G220">
        <v>77</v>
      </c>
      <c r="H220">
        <v>70</v>
      </c>
    </row>
    <row r="221" spans="1:8" x14ac:dyDescent="0.25">
      <c r="A221" t="s">
        <v>17</v>
      </c>
      <c r="B221" t="s">
        <v>9</v>
      </c>
      <c r="C221" t="s">
        <v>23</v>
      </c>
      <c r="D221" t="s">
        <v>11</v>
      </c>
      <c r="E221" t="s">
        <v>15</v>
      </c>
      <c r="F221">
        <v>61</v>
      </c>
      <c r="G221">
        <v>56</v>
      </c>
      <c r="H221">
        <v>56</v>
      </c>
    </row>
    <row r="222" spans="1:8" x14ac:dyDescent="0.25">
      <c r="A222" t="s">
        <v>8</v>
      </c>
      <c r="B222" t="s">
        <v>21</v>
      </c>
      <c r="C222" t="s">
        <v>22</v>
      </c>
      <c r="D222" t="s">
        <v>11</v>
      </c>
      <c r="E222" t="s">
        <v>15</v>
      </c>
      <c r="F222">
        <v>56</v>
      </c>
      <c r="G222">
        <v>68</v>
      </c>
      <c r="H222">
        <v>74</v>
      </c>
    </row>
    <row r="223" spans="1:8" x14ac:dyDescent="0.25">
      <c r="A223" t="s">
        <v>17</v>
      </c>
      <c r="B223" t="s">
        <v>9</v>
      </c>
      <c r="C223" t="s">
        <v>19</v>
      </c>
      <c r="D223" t="s">
        <v>11</v>
      </c>
      <c r="E223" t="s">
        <v>12</v>
      </c>
      <c r="F223">
        <v>87</v>
      </c>
      <c r="G223">
        <v>85</v>
      </c>
      <c r="H223">
        <v>73</v>
      </c>
    </row>
    <row r="224" spans="1:8" x14ac:dyDescent="0.25">
      <c r="A224" t="s">
        <v>8</v>
      </c>
      <c r="B224" t="s">
        <v>13</v>
      </c>
      <c r="C224" t="s">
        <v>23</v>
      </c>
      <c r="D224" t="s">
        <v>20</v>
      </c>
      <c r="E224" t="s">
        <v>12</v>
      </c>
      <c r="F224">
        <v>55</v>
      </c>
      <c r="G224">
        <v>65</v>
      </c>
      <c r="H224">
        <v>62</v>
      </c>
    </row>
    <row r="225" spans="1:8" x14ac:dyDescent="0.25">
      <c r="A225" t="s">
        <v>17</v>
      </c>
      <c r="B225" t="s">
        <v>21</v>
      </c>
      <c r="C225" t="s">
        <v>23</v>
      </c>
      <c r="D225" t="s">
        <v>11</v>
      </c>
      <c r="E225" t="s">
        <v>12</v>
      </c>
      <c r="F225">
        <v>86</v>
      </c>
      <c r="G225">
        <v>80</v>
      </c>
      <c r="H225">
        <v>75</v>
      </c>
    </row>
    <row r="226" spans="1:8" x14ac:dyDescent="0.25">
      <c r="A226" t="s">
        <v>8</v>
      </c>
      <c r="B226" t="s">
        <v>9</v>
      </c>
      <c r="C226" t="s">
        <v>19</v>
      </c>
      <c r="D226" t="s">
        <v>11</v>
      </c>
      <c r="E226" t="s">
        <v>15</v>
      </c>
      <c r="F226">
        <v>52</v>
      </c>
      <c r="G226">
        <v>66</v>
      </c>
      <c r="H226">
        <v>73</v>
      </c>
    </row>
    <row r="227" spans="1:8" x14ac:dyDescent="0.25">
      <c r="A227" t="s">
        <v>8</v>
      </c>
      <c r="B227" t="s">
        <v>24</v>
      </c>
      <c r="C227" t="s">
        <v>16</v>
      </c>
      <c r="D227" t="s">
        <v>20</v>
      </c>
      <c r="E227" t="s">
        <v>12</v>
      </c>
      <c r="F227">
        <v>45</v>
      </c>
      <c r="G227">
        <v>56</v>
      </c>
      <c r="H227">
        <v>54</v>
      </c>
    </row>
    <row r="228" spans="1:8" x14ac:dyDescent="0.25">
      <c r="A228" t="s">
        <v>8</v>
      </c>
      <c r="B228" t="s">
        <v>13</v>
      </c>
      <c r="C228" t="s">
        <v>14</v>
      </c>
      <c r="D228" t="s">
        <v>11</v>
      </c>
      <c r="E228" t="s">
        <v>12</v>
      </c>
      <c r="F228">
        <v>72</v>
      </c>
      <c r="G228">
        <v>72</v>
      </c>
      <c r="H228">
        <v>71</v>
      </c>
    </row>
    <row r="229" spans="1:8" x14ac:dyDescent="0.25">
      <c r="A229" t="s">
        <v>17</v>
      </c>
      <c r="B229" t="s">
        <v>21</v>
      </c>
      <c r="C229" t="s">
        <v>22</v>
      </c>
      <c r="D229" t="s">
        <v>11</v>
      </c>
      <c r="E229" t="s">
        <v>12</v>
      </c>
      <c r="F229">
        <v>57</v>
      </c>
      <c r="G229">
        <v>50</v>
      </c>
      <c r="H229">
        <v>54</v>
      </c>
    </row>
    <row r="230" spans="1:8" x14ac:dyDescent="0.25">
      <c r="A230" t="s">
        <v>17</v>
      </c>
      <c r="B230" t="s">
        <v>18</v>
      </c>
      <c r="C230" t="s">
        <v>23</v>
      </c>
      <c r="D230" t="s">
        <v>20</v>
      </c>
      <c r="E230" t="s">
        <v>12</v>
      </c>
      <c r="F230">
        <v>68</v>
      </c>
      <c r="G230">
        <v>72</v>
      </c>
      <c r="H230">
        <v>64</v>
      </c>
    </row>
    <row r="231" spans="1:8" x14ac:dyDescent="0.25">
      <c r="A231" t="s">
        <v>8</v>
      </c>
      <c r="B231" t="s">
        <v>13</v>
      </c>
      <c r="C231" t="s">
        <v>14</v>
      </c>
      <c r="D231" t="s">
        <v>11</v>
      </c>
      <c r="E231" t="s">
        <v>15</v>
      </c>
      <c r="F231">
        <v>88</v>
      </c>
      <c r="G231">
        <v>95</v>
      </c>
      <c r="H231">
        <v>94</v>
      </c>
    </row>
    <row r="232" spans="1:8" x14ac:dyDescent="0.25">
      <c r="A232" t="s">
        <v>17</v>
      </c>
      <c r="B232" t="s">
        <v>21</v>
      </c>
      <c r="C232" t="s">
        <v>14</v>
      </c>
      <c r="D232" t="s">
        <v>11</v>
      </c>
      <c r="E232" t="s">
        <v>12</v>
      </c>
      <c r="F232">
        <v>76</v>
      </c>
      <c r="G232">
        <v>64</v>
      </c>
      <c r="H232">
        <v>66</v>
      </c>
    </row>
    <row r="233" spans="1:8" x14ac:dyDescent="0.25">
      <c r="A233" t="s">
        <v>17</v>
      </c>
      <c r="B233" t="s">
        <v>13</v>
      </c>
      <c r="C233" t="s">
        <v>19</v>
      </c>
      <c r="D233" t="s">
        <v>11</v>
      </c>
      <c r="E233" t="s">
        <v>12</v>
      </c>
      <c r="F233">
        <v>46</v>
      </c>
      <c r="G233">
        <v>43</v>
      </c>
      <c r="H233">
        <v>42</v>
      </c>
    </row>
    <row r="234" spans="1:8" x14ac:dyDescent="0.25">
      <c r="A234" t="s">
        <v>8</v>
      </c>
      <c r="B234" t="s">
        <v>9</v>
      </c>
      <c r="C234" t="s">
        <v>10</v>
      </c>
      <c r="D234" t="s">
        <v>11</v>
      </c>
      <c r="E234" t="s">
        <v>12</v>
      </c>
      <c r="F234">
        <v>67</v>
      </c>
      <c r="G234">
        <v>86</v>
      </c>
      <c r="H234">
        <v>83</v>
      </c>
    </row>
    <row r="235" spans="1:8" x14ac:dyDescent="0.25">
      <c r="A235" t="s">
        <v>17</v>
      </c>
      <c r="B235" t="s">
        <v>24</v>
      </c>
      <c r="C235" t="s">
        <v>23</v>
      </c>
      <c r="D235" t="s">
        <v>11</v>
      </c>
      <c r="E235" t="s">
        <v>12</v>
      </c>
      <c r="F235">
        <v>92</v>
      </c>
      <c r="G235">
        <v>87</v>
      </c>
      <c r="H235">
        <v>78</v>
      </c>
    </row>
    <row r="236" spans="1:8" x14ac:dyDescent="0.25">
      <c r="A236" t="s">
        <v>17</v>
      </c>
      <c r="B236" t="s">
        <v>13</v>
      </c>
      <c r="C236" t="s">
        <v>10</v>
      </c>
      <c r="D236" t="s">
        <v>11</v>
      </c>
      <c r="E236" t="s">
        <v>15</v>
      </c>
      <c r="F236">
        <v>83</v>
      </c>
      <c r="G236">
        <v>82</v>
      </c>
      <c r="H236">
        <v>84</v>
      </c>
    </row>
    <row r="237" spans="1:8" x14ac:dyDescent="0.25">
      <c r="A237" t="s">
        <v>17</v>
      </c>
      <c r="B237" t="s">
        <v>21</v>
      </c>
      <c r="C237" t="s">
        <v>19</v>
      </c>
      <c r="D237" t="s">
        <v>11</v>
      </c>
      <c r="E237" t="s">
        <v>12</v>
      </c>
      <c r="F237">
        <v>80</v>
      </c>
      <c r="G237">
        <v>75</v>
      </c>
      <c r="H237">
        <v>77</v>
      </c>
    </row>
    <row r="238" spans="1:8" x14ac:dyDescent="0.25">
      <c r="A238" t="s">
        <v>17</v>
      </c>
      <c r="B238" t="s">
        <v>21</v>
      </c>
      <c r="C238" t="s">
        <v>10</v>
      </c>
      <c r="D238" t="s">
        <v>20</v>
      </c>
      <c r="E238" t="s">
        <v>12</v>
      </c>
      <c r="F238">
        <v>63</v>
      </c>
      <c r="G238">
        <v>66</v>
      </c>
      <c r="H238">
        <v>67</v>
      </c>
    </row>
    <row r="239" spans="1:8" x14ac:dyDescent="0.25">
      <c r="A239" t="s">
        <v>8</v>
      </c>
      <c r="B239" t="s">
        <v>21</v>
      </c>
      <c r="C239" t="s">
        <v>23</v>
      </c>
      <c r="D239" t="s">
        <v>11</v>
      </c>
      <c r="E239" t="s">
        <v>15</v>
      </c>
      <c r="F239">
        <v>64</v>
      </c>
      <c r="G239">
        <v>60</v>
      </c>
      <c r="H239">
        <v>74</v>
      </c>
    </row>
    <row r="240" spans="1:8" x14ac:dyDescent="0.25">
      <c r="A240" t="s">
        <v>17</v>
      </c>
      <c r="B240" t="s">
        <v>9</v>
      </c>
      <c r="C240" t="s">
        <v>14</v>
      </c>
      <c r="D240" t="s">
        <v>11</v>
      </c>
      <c r="E240" t="s">
        <v>12</v>
      </c>
      <c r="F240">
        <v>54</v>
      </c>
      <c r="G240">
        <v>52</v>
      </c>
      <c r="H240">
        <v>51</v>
      </c>
    </row>
    <row r="241" spans="1:8" x14ac:dyDescent="0.25">
      <c r="A241" t="s">
        <v>17</v>
      </c>
      <c r="B241" t="s">
        <v>13</v>
      </c>
      <c r="C241" t="s">
        <v>19</v>
      </c>
      <c r="D241" t="s">
        <v>11</v>
      </c>
      <c r="E241" t="s">
        <v>12</v>
      </c>
      <c r="F241">
        <v>84</v>
      </c>
      <c r="G241">
        <v>80</v>
      </c>
      <c r="H241">
        <v>80</v>
      </c>
    </row>
    <row r="242" spans="1:8" x14ac:dyDescent="0.25">
      <c r="A242" t="s">
        <v>17</v>
      </c>
      <c r="B242" t="s">
        <v>21</v>
      </c>
      <c r="C242" t="s">
        <v>22</v>
      </c>
      <c r="D242" t="s">
        <v>20</v>
      </c>
      <c r="E242" t="s">
        <v>15</v>
      </c>
      <c r="F242">
        <v>73</v>
      </c>
      <c r="G242">
        <v>68</v>
      </c>
      <c r="H242">
        <v>66</v>
      </c>
    </row>
    <row r="243" spans="1:8" x14ac:dyDescent="0.25">
      <c r="A243" t="s">
        <v>8</v>
      </c>
      <c r="B243" t="s">
        <v>24</v>
      </c>
      <c r="C243" t="s">
        <v>10</v>
      </c>
      <c r="D243" t="s">
        <v>11</v>
      </c>
      <c r="E243" t="s">
        <v>12</v>
      </c>
      <c r="F243">
        <v>80</v>
      </c>
      <c r="G243">
        <v>83</v>
      </c>
      <c r="H243">
        <v>83</v>
      </c>
    </row>
    <row r="244" spans="1:8" x14ac:dyDescent="0.25">
      <c r="A244" t="s">
        <v>8</v>
      </c>
      <c r="B244" t="s">
        <v>21</v>
      </c>
      <c r="C244" t="s">
        <v>22</v>
      </c>
      <c r="D244" t="s">
        <v>11</v>
      </c>
      <c r="E244" t="s">
        <v>12</v>
      </c>
      <c r="F244">
        <v>56</v>
      </c>
      <c r="G244">
        <v>52</v>
      </c>
      <c r="H244">
        <v>55</v>
      </c>
    </row>
    <row r="245" spans="1:8" x14ac:dyDescent="0.25">
      <c r="A245" t="s">
        <v>17</v>
      </c>
      <c r="B245" t="s">
        <v>24</v>
      </c>
      <c r="C245" t="s">
        <v>14</v>
      </c>
      <c r="D245" t="s">
        <v>11</v>
      </c>
      <c r="E245" t="s">
        <v>12</v>
      </c>
      <c r="F245">
        <v>59</v>
      </c>
      <c r="G245">
        <v>51</v>
      </c>
      <c r="H245">
        <v>43</v>
      </c>
    </row>
    <row r="246" spans="1:8" x14ac:dyDescent="0.25">
      <c r="A246" t="s">
        <v>17</v>
      </c>
      <c r="B246" t="s">
        <v>21</v>
      </c>
      <c r="C246" t="s">
        <v>23</v>
      </c>
      <c r="D246" t="s">
        <v>11</v>
      </c>
      <c r="E246" t="s">
        <v>12</v>
      </c>
      <c r="F246">
        <v>75</v>
      </c>
      <c r="G246">
        <v>74</v>
      </c>
      <c r="H246">
        <v>69</v>
      </c>
    </row>
    <row r="247" spans="1:8" x14ac:dyDescent="0.25">
      <c r="A247" t="s">
        <v>17</v>
      </c>
      <c r="B247" t="s">
        <v>13</v>
      </c>
      <c r="C247" t="s">
        <v>19</v>
      </c>
      <c r="D247" t="s">
        <v>11</v>
      </c>
      <c r="E247" t="s">
        <v>12</v>
      </c>
      <c r="F247">
        <v>85</v>
      </c>
      <c r="G247">
        <v>76</v>
      </c>
      <c r="H247">
        <v>71</v>
      </c>
    </row>
    <row r="248" spans="1:8" x14ac:dyDescent="0.25">
      <c r="A248" t="s">
        <v>17</v>
      </c>
      <c r="B248" t="s">
        <v>24</v>
      </c>
      <c r="C248" t="s">
        <v>19</v>
      </c>
      <c r="D248" t="s">
        <v>11</v>
      </c>
      <c r="E248" t="s">
        <v>12</v>
      </c>
      <c r="F248">
        <v>89</v>
      </c>
      <c r="G248">
        <v>76</v>
      </c>
      <c r="H248">
        <v>74</v>
      </c>
    </row>
    <row r="249" spans="1:8" x14ac:dyDescent="0.25">
      <c r="A249" t="s">
        <v>8</v>
      </c>
      <c r="B249" t="s">
        <v>9</v>
      </c>
      <c r="C249" t="s">
        <v>22</v>
      </c>
      <c r="D249" t="s">
        <v>11</v>
      </c>
      <c r="E249" t="s">
        <v>15</v>
      </c>
      <c r="F249">
        <v>58</v>
      </c>
      <c r="G249">
        <v>70</v>
      </c>
      <c r="H249">
        <v>68</v>
      </c>
    </row>
    <row r="250" spans="1:8" x14ac:dyDescent="0.25">
      <c r="A250" t="s">
        <v>8</v>
      </c>
      <c r="B250" t="s">
        <v>9</v>
      </c>
      <c r="C250" t="s">
        <v>22</v>
      </c>
      <c r="D250" t="s">
        <v>11</v>
      </c>
      <c r="E250" t="s">
        <v>12</v>
      </c>
      <c r="F250">
        <v>65</v>
      </c>
      <c r="G250">
        <v>64</v>
      </c>
      <c r="H250">
        <v>62</v>
      </c>
    </row>
    <row r="251" spans="1:8" x14ac:dyDescent="0.25">
      <c r="A251" t="s">
        <v>17</v>
      </c>
      <c r="B251" t="s">
        <v>13</v>
      </c>
      <c r="C251" t="s">
        <v>22</v>
      </c>
      <c r="D251" t="s">
        <v>11</v>
      </c>
      <c r="E251" t="s">
        <v>12</v>
      </c>
      <c r="F251">
        <v>68</v>
      </c>
      <c r="G251">
        <v>60</v>
      </c>
      <c r="H251">
        <v>53</v>
      </c>
    </row>
    <row r="252" spans="1:8" x14ac:dyDescent="0.25">
      <c r="A252" t="s">
        <v>17</v>
      </c>
      <c r="B252" t="s">
        <v>18</v>
      </c>
      <c r="C252" t="s">
        <v>23</v>
      </c>
      <c r="D252" t="s">
        <v>11</v>
      </c>
      <c r="E252" t="s">
        <v>15</v>
      </c>
      <c r="F252">
        <v>47</v>
      </c>
      <c r="G252">
        <v>49</v>
      </c>
      <c r="H252">
        <v>49</v>
      </c>
    </row>
    <row r="253" spans="1:8" x14ac:dyDescent="0.25">
      <c r="A253" t="s">
        <v>8</v>
      </c>
      <c r="B253" t="s">
        <v>21</v>
      </c>
      <c r="C253" t="s">
        <v>14</v>
      </c>
      <c r="D253" t="s">
        <v>20</v>
      </c>
      <c r="E253" t="s">
        <v>12</v>
      </c>
      <c r="F253">
        <v>71</v>
      </c>
      <c r="G253">
        <v>83</v>
      </c>
      <c r="H253">
        <v>83</v>
      </c>
    </row>
    <row r="254" spans="1:8" x14ac:dyDescent="0.25">
      <c r="A254" t="s">
        <v>8</v>
      </c>
      <c r="B254" t="s">
        <v>9</v>
      </c>
      <c r="C254" t="s">
        <v>23</v>
      </c>
      <c r="D254" t="s">
        <v>11</v>
      </c>
      <c r="E254" t="s">
        <v>15</v>
      </c>
      <c r="F254">
        <v>60</v>
      </c>
      <c r="G254">
        <v>70</v>
      </c>
      <c r="H254">
        <v>70</v>
      </c>
    </row>
    <row r="255" spans="1:8" x14ac:dyDescent="0.25">
      <c r="A255" t="s">
        <v>17</v>
      </c>
      <c r="B255" t="s">
        <v>21</v>
      </c>
      <c r="C255" t="s">
        <v>16</v>
      </c>
      <c r="D255" t="s">
        <v>11</v>
      </c>
      <c r="E255" t="s">
        <v>12</v>
      </c>
      <c r="F255">
        <v>80</v>
      </c>
      <c r="G255">
        <v>80</v>
      </c>
      <c r="H255">
        <v>72</v>
      </c>
    </row>
    <row r="256" spans="1:8" x14ac:dyDescent="0.25">
      <c r="A256" t="s">
        <v>17</v>
      </c>
      <c r="B256" t="s">
        <v>21</v>
      </c>
      <c r="C256" t="s">
        <v>22</v>
      </c>
      <c r="D256" t="s">
        <v>11</v>
      </c>
      <c r="E256" t="s">
        <v>12</v>
      </c>
      <c r="F256">
        <v>54</v>
      </c>
      <c r="G256">
        <v>52</v>
      </c>
      <c r="H256">
        <v>52</v>
      </c>
    </row>
    <row r="257" spans="1:8" x14ac:dyDescent="0.25">
      <c r="A257" t="s">
        <v>8</v>
      </c>
      <c r="B257" t="s">
        <v>24</v>
      </c>
      <c r="C257" t="s">
        <v>14</v>
      </c>
      <c r="D257" t="s">
        <v>11</v>
      </c>
      <c r="E257" t="s">
        <v>12</v>
      </c>
      <c r="F257">
        <v>62</v>
      </c>
      <c r="G257">
        <v>73</v>
      </c>
      <c r="H257">
        <v>70</v>
      </c>
    </row>
    <row r="258" spans="1:8" x14ac:dyDescent="0.25">
      <c r="A258" t="s">
        <v>8</v>
      </c>
      <c r="B258" t="s">
        <v>13</v>
      </c>
      <c r="C258" t="s">
        <v>19</v>
      </c>
      <c r="D258" t="s">
        <v>20</v>
      </c>
      <c r="E258" t="s">
        <v>12</v>
      </c>
      <c r="F258">
        <v>64</v>
      </c>
      <c r="G258">
        <v>73</v>
      </c>
      <c r="H258">
        <v>68</v>
      </c>
    </row>
    <row r="259" spans="1:8" x14ac:dyDescent="0.25">
      <c r="A259" t="s">
        <v>17</v>
      </c>
      <c r="B259" t="s">
        <v>13</v>
      </c>
      <c r="C259" t="s">
        <v>19</v>
      </c>
      <c r="D259" t="s">
        <v>11</v>
      </c>
      <c r="E259" t="s">
        <v>15</v>
      </c>
      <c r="F259">
        <v>78</v>
      </c>
      <c r="G259">
        <v>77</v>
      </c>
      <c r="H259">
        <v>77</v>
      </c>
    </row>
    <row r="260" spans="1:8" x14ac:dyDescent="0.25">
      <c r="A260" t="s">
        <v>8</v>
      </c>
      <c r="B260" t="s">
        <v>9</v>
      </c>
      <c r="C260" t="s">
        <v>14</v>
      </c>
      <c r="D260" t="s">
        <v>11</v>
      </c>
      <c r="E260" t="s">
        <v>12</v>
      </c>
      <c r="F260">
        <v>70</v>
      </c>
      <c r="G260">
        <v>75</v>
      </c>
      <c r="H260">
        <v>78</v>
      </c>
    </row>
    <row r="261" spans="1:8" x14ac:dyDescent="0.25">
      <c r="A261" t="s">
        <v>8</v>
      </c>
      <c r="B261" t="s">
        <v>13</v>
      </c>
      <c r="C261" t="s">
        <v>16</v>
      </c>
      <c r="D261" t="s">
        <v>20</v>
      </c>
      <c r="E261" t="s">
        <v>15</v>
      </c>
      <c r="F261">
        <v>65</v>
      </c>
      <c r="G261">
        <v>81</v>
      </c>
      <c r="H261">
        <v>81</v>
      </c>
    </row>
    <row r="262" spans="1:8" x14ac:dyDescent="0.25">
      <c r="A262" t="s">
        <v>8</v>
      </c>
      <c r="B262" t="s">
        <v>13</v>
      </c>
      <c r="C262" t="s">
        <v>23</v>
      </c>
      <c r="D262" t="s">
        <v>20</v>
      </c>
      <c r="E262" t="s">
        <v>15</v>
      </c>
      <c r="F262">
        <v>64</v>
      </c>
      <c r="G262">
        <v>79</v>
      </c>
      <c r="H262">
        <v>77</v>
      </c>
    </row>
    <row r="263" spans="1:8" x14ac:dyDescent="0.25">
      <c r="A263" t="s">
        <v>17</v>
      </c>
      <c r="B263" t="s">
        <v>13</v>
      </c>
      <c r="C263" t="s">
        <v>14</v>
      </c>
      <c r="D263" t="s">
        <v>11</v>
      </c>
      <c r="E263" t="s">
        <v>15</v>
      </c>
      <c r="F263">
        <v>79</v>
      </c>
      <c r="G263">
        <v>79</v>
      </c>
      <c r="H263">
        <v>78</v>
      </c>
    </row>
    <row r="264" spans="1:8" x14ac:dyDescent="0.25">
      <c r="A264" t="s">
        <v>8</v>
      </c>
      <c r="B264" t="s">
        <v>13</v>
      </c>
      <c r="C264" t="s">
        <v>23</v>
      </c>
      <c r="D264" t="s">
        <v>20</v>
      </c>
      <c r="E264" t="s">
        <v>12</v>
      </c>
      <c r="F264">
        <v>44</v>
      </c>
      <c r="G264">
        <v>50</v>
      </c>
      <c r="H264">
        <v>51</v>
      </c>
    </row>
    <row r="265" spans="1:8" x14ac:dyDescent="0.25">
      <c r="A265" t="s">
        <v>8</v>
      </c>
      <c r="B265" t="s">
        <v>24</v>
      </c>
      <c r="C265" t="s">
        <v>22</v>
      </c>
      <c r="D265" t="s">
        <v>11</v>
      </c>
      <c r="E265" t="s">
        <v>12</v>
      </c>
      <c r="F265">
        <v>99</v>
      </c>
      <c r="G265">
        <v>93</v>
      </c>
      <c r="H265">
        <v>90</v>
      </c>
    </row>
    <row r="266" spans="1:8" x14ac:dyDescent="0.25">
      <c r="A266" t="s">
        <v>17</v>
      </c>
      <c r="B266" t="s">
        <v>21</v>
      </c>
      <c r="C266" t="s">
        <v>22</v>
      </c>
      <c r="D266" t="s">
        <v>11</v>
      </c>
      <c r="E266" t="s">
        <v>12</v>
      </c>
      <c r="F266">
        <v>76</v>
      </c>
      <c r="G266">
        <v>73</v>
      </c>
      <c r="H266">
        <v>68</v>
      </c>
    </row>
    <row r="267" spans="1:8" x14ac:dyDescent="0.25">
      <c r="A267" t="s">
        <v>17</v>
      </c>
      <c r="B267" t="s">
        <v>21</v>
      </c>
      <c r="C267" t="s">
        <v>23</v>
      </c>
      <c r="D267" t="s">
        <v>20</v>
      </c>
      <c r="E267" t="s">
        <v>12</v>
      </c>
      <c r="F267">
        <v>59</v>
      </c>
      <c r="G267">
        <v>42</v>
      </c>
      <c r="H267">
        <v>41</v>
      </c>
    </row>
    <row r="268" spans="1:8" x14ac:dyDescent="0.25">
      <c r="A268" t="s">
        <v>8</v>
      </c>
      <c r="B268" t="s">
        <v>13</v>
      </c>
      <c r="C268" t="s">
        <v>10</v>
      </c>
      <c r="D268" t="s">
        <v>11</v>
      </c>
      <c r="E268" t="s">
        <v>12</v>
      </c>
      <c r="F268">
        <v>63</v>
      </c>
      <c r="G268">
        <v>75</v>
      </c>
      <c r="H268">
        <v>81</v>
      </c>
    </row>
    <row r="269" spans="1:8" x14ac:dyDescent="0.25">
      <c r="A269" t="s">
        <v>8</v>
      </c>
      <c r="B269" t="s">
        <v>21</v>
      </c>
      <c r="C269" t="s">
        <v>22</v>
      </c>
      <c r="D269" t="s">
        <v>11</v>
      </c>
      <c r="E269" t="s">
        <v>12</v>
      </c>
      <c r="F269">
        <v>69</v>
      </c>
      <c r="G269">
        <v>72</v>
      </c>
      <c r="H269">
        <v>77</v>
      </c>
    </row>
    <row r="270" spans="1:8" x14ac:dyDescent="0.25">
      <c r="A270" t="s">
        <v>8</v>
      </c>
      <c r="B270" t="s">
        <v>21</v>
      </c>
      <c r="C270" t="s">
        <v>19</v>
      </c>
      <c r="D270" t="s">
        <v>11</v>
      </c>
      <c r="E270" t="s">
        <v>15</v>
      </c>
      <c r="F270">
        <v>88</v>
      </c>
      <c r="G270">
        <v>92</v>
      </c>
      <c r="H270">
        <v>95</v>
      </c>
    </row>
    <row r="271" spans="1:8" x14ac:dyDescent="0.25">
      <c r="A271" t="s">
        <v>8</v>
      </c>
      <c r="B271" t="s">
        <v>24</v>
      </c>
      <c r="C271" t="s">
        <v>14</v>
      </c>
      <c r="D271" t="s">
        <v>20</v>
      </c>
      <c r="E271" t="s">
        <v>12</v>
      </c>
      <c r="F271">
        <v>71</v>
      </c>
      <c r="G271">
        <v>76</v>
      </c>
      <c r="H271">
        <v>70</v>
      </c>
    </row>
    <row r="272" spans="1:8" x14ac:dyDescent="0.25">
      <c r="A272" t="s">
        <v>17</v>
      </c>
      <c r="B272" t="s">
        <v>13</v>
      </c>
      <c r="C272" t="s">
        <v>10</v>
      </c>
      <c r="D272" t="s">
        <v>11</v>
      </c>
      <c r="E272" t="s">
        <v>12</v>
      </c>
      <c r="F272">
        <v>69</v>
      </c>
      <c r="G272">
        <v>63</v>
      </c>
      <c r="H272">
        <v>61</v>
      </c>
    </row>
    <row r="273" spans="1:8" x14ac:dyDescent="0.25">
      <c r="A273" t="s">
        <v>17</v>
      </c>
      <c r="B273" t="s">
        <v>13</v>
      </c>
      <c r="C273" t="s">
        <v>14</v>
      </c>
      <c r="D273" t="s">
        <v>11</v>
      </c>
      <c r="E273" t="s">
        <v>12</v>
      </c>
      <c r="F273">
        <v>58</v>
      </c>
      <c r="G273">
        <v>49</v>
      </c>
      <c r="H273">
        <v>42</v>
      </c>
    </row>
    <row r="274" spans="1:8" x14ac:dyDescent="0.25">
      <c r="A274" t="s">
        <v>8</v>
      </c>
      <c r="B274" t="s">
        <v>21</v>
      </c>
      <c r="C274" t="s">
        <v>19</v>
      </c>
      <c r="D274" t="s">
        <v>20</v>
      </c>
      <c r="E274" t="s">
        <v>12</v>
      </c>
      <c r="F274">
        <v>47</v>
      </c>
      <c r="G274">
        <v>53</v>
      </c>
      <c r="H274">
        <v>58</v>
      </c>
    </row>
    <row r="275" spans="1:8" x14ac:dyDescent="0.25">
      <c r="A275" t="s">
        <v>8</v>
      </c>
      <c r="B275" t="s">
        <v>21</v>
      </c>
      <c r="C275" t="s">
        <v>14</v>
      </c>
      <c r="D275" t="s">
        <v>11</v>
      </c>
      <c r="E275" t="s">
        <v>12</v>
      </c>
      <c r="F275">
        <v>65</v>
      </c>
      <c r="G275">
        <v>70</v>
      </c>
      <c r="H275">
        <v>71</v>
      </c>
    </row>
    <row r="276" spans="1:8" x14ac:dyDescent="0.25">
      <c r="A276" t="s">
        <v>17</v>
      </c>
      <c r="B276" t="s">
        <v>9</v>
      </c>
      <c r="C276" t="s">
        <v>14</v>
      </c>
      <c r="D276" t="s">
        <v>11</v>
      </c>
      <c r="E276" t="s">
        <v>15</v>
      </c>
      <c r="F276">
        <v>88</v>
      </c>
      <c r="G276">
        <v>85</v>
      </c>
      <c r="H276">
        <v>76</v>
      </c>
    </row>
    <row r="277" spans="1:8" x14ac:dyDescent="0.25">
      <c r="A277" t="s">
        <v>17</v>
      </c>
      <c r="B277" t="s">
        <v>13</v>
      </c>
      <c r="C277" t="s">
        <v>10</v>
      </c>
      <c r="D277" t="s">
        <v>11</v>
      </c>
      <c r="E277" t="s">
        <v>12</v>
      </c>
      <c r="F277">
        <v>83</v>
      </c>
      <c r="G277">
        <v>78</v>
      </c>
      <c r="H277">
        <v>73</v>
      </c>
    </row>
    <row r="278" spans="1:8" x14ac:dyDescent="0.25">
      <c r="A278" t="s">
        <v>8</v>
      </c>
      <c r="B278" t="s">
        <v>13</v>
      </c>
      <c r="C278" t="s">
        <v>23</v>
      </c>
      <c r="D278" t="s">
        <v>11</v>
      </c>
      <c r="E278" t="s">
        <v>15</v>
      </c>
      <c r="F278">
        <v>85</v>
      </c>
      <c r="G278">
        <v>92</v>
      </c>
      <c r="H278">
        <v>93</v>
      </c>
    </row>
    <row r="279" spans="1:8" x14ac:dyDescent="0.25">
      <c r="A279" t="s">
        <v>8</v>
      </c>
      <c r="B279" t="s">
        <v>24</v>
      </c>
      <c r="C279" t="s">
        <v>22</v>
      </c>
      <c r="D279" t="s">
        <v>11</v>
      </c>
      <c r="E279" t="s">
        <v>15</v>
      </c>
      <c r="F279">
        <v>59</v>
      </c>
      <c r="G279">
        <v>63</v>
      </c>
      <c r="H279">
        <v>75</v>
      </c>
    </row>
    <row r="280" spans="1:8" x14ac:dyDescent="0.25">
      <c r="A280" t="s">
        <v>8</v>
      </c>
      <c r="B280" t="s">
        <v>13</v>
      </c>
      <c r="C280" t="s">
        <v>23</v>
      </c>
      <c r="D280" t="s">
        <v>20</v>
      </c>
      <c r="E280" t="s">
        <v>12</v>
      </c>
      <c r="F280">
        <v>65</v>
      </c>
      <c r="G280">
        <v>86</v>
      </c>
      <c r="H280">
        <v>80</v>
      </c>
    </row>
    <row r="281" spans="1:8" x14ac:dyDescent="0.25">
      <c r="A281" t="s">
        <v>17</v>
      </c>
      <c r="B281" t="s">
        <v>9</v>
      </c>
      <c r="C281" t="s">
        <v>10</v>
      </c>
      <c r="D281" t="s">
        <v>20</v>
      </c>
      <c r="E281" t="s">
        <v>12</v>
      </c>
      <c r="F281">
        <v>73</v>
      </c>
      <c r="G281">
        <v>56</v>
      </c>
      <c r="H281">
        <v>57</v>
      </c>
    </row>
    <row r="282" spans="1:8" x14ac:dyDescent="0.25">
      <c r="A282" t="s">
        <v>17</v>
      </c>
      <c r="B282" t="s">
        <v>21</v>
      </c>
      <c r="C282" t="s">
        <v>22</v>
      </c>
      <c r="D282" t="s">
        <v>11</v>
      </c>
      <c r="E282" t="s">
        <v>12</v>
      </c>
      <c r="F282">
        <v>53</v>
      </c>
      <c r="G282">
        <v>52</v>
      </c>
      <c r="H282">
        <v>42</v>
      </c>
    </row>
    <row r="283" spans="1:8" x14ac:dyDescent="0.25">
      <c r="A283" t="s">
        <v>17</v>
      </c>
      <c r="B283" t="s">
        <v>21</v>
      </c>
      <c r="C283" t="s">
        <v>22</v>
      </c>
      <c r="D283" t="s">
        <v>11</v>
      </c>
      <c r="E283" t="s">
        <v>12</v>
      </c>
      <c r="F283">
        <v>45</v>
      </c>
      <c r="G283">
        <v>48</v>
      </c>
      <c r="H283">
        <v>46</v>
      </c>
    </row>
    <row r="284" spans="1:8" x14ac:dyDescent="0.25">
      <c r="A284" t="s">
        <v>8</v>
      </c>
      <c r="B284" t="s">
        <v>21</v>
      </c>
      <c r="C284" t="s">
        <v>10</v>
      </c>
      <c r="D284" t="s">
        <v>20</v>
      </c>
      <c r="E284" t="s">
        <v>12</v>
      </c>
      <c r="F284">
        <v>73</v>
      </c>
      <c r="G284">
        <v>79</v>
      </c>
      <c r="H284">
        <v>84</v>
      </c>
    </row>
    <row r="285" spans="1:8" x14ac:dyDescent="0.25">
      <c r="A285" t="s">
        <v>8</v>
      </c>
      <c r="B285" t="s">
        <v>21</v>
      </c>
      <c r="C285" t="s">
        <v>14</v>
      </c>
      <c r="D285" t="s">
        <v>20</v>
      </c>
      <c r="E285" t="s">
        <v>15</v>
      </c>
      <c r="F285">
        <v>70</v>
      </c>
      <c r="G285">
        <v>78</v>
      </c>
      <c r="H285">
        <v>78</v>
      </c>
    </row>
    <row r="286" spans="1:8" x14ac:dyDescent="0.25">
      <c r="A286" t="s">
        <v>8</v>
      </c>
      <c r="B286" t="s">
        <v>9</v>
      </c>
      <c r="C286" t="s">
        <v>23</v>
      </c>
      <c r="D286" t="s">
        <v>11</v>
      </c>
      <c r="E286" t="s">
        <v>12</v>
      </c>
      <c r="F286">
        <v>37</v>
      </c>
      <c r="G286">
        <v>46</v>
      </c>
      <c r="H286">
        <v>46</v>
      </c>
    </row>
    <row r="287" spans="1:8" x14ac:dyDescent="0.25">
      <c r="A287" t="s">
        <v>17</v>
      </c>
      <c r="B287" t="s">
        <v>9</v>
      </c>
      <c r="C287" t="s">
        <v>19</v>
      </c>
      <c r="D287" t="s">
        <v>11</v>
      </c>
      <c r="E287" t="s">
        <v>15</v>
      </c>
      <c r="F287">
        <v>81</v>
      </c>
      <c r="G287">
        <v>82</v>
      </c>
      <c r="H287">
        <v>82</v>
      </c>
    </row>
    <row r="288" spans="1:8" x14ac:dyDescent="0.25">
      <c r="A288" t="s">
        <v>17</v>
      </c>
      <c r="B288" t="s">
        <v>24</v>
      </c>
      <c r="C288" t="s">
        <v>19</v>
      </c>
      <c r="D288" t="s">
        <v>11</v>
      </c>
      <c r="E288" t="s">
        <v>15</v>
      </c>
      <c r="F288">
        <v>97</v>
      </c>
      <c r="G288">
        <v>82</v>
      </c>
      <c r="H288">
        <v>88</v>
      </c>
    </row>
    <row r="289" spans="1:8" x14ac:dyDescent="0.25">
      <c r="A289" t="s">
        <v>8</v>
      </c>
      <c r="B289" t="s">
        <v>9</v>
      </c>
      <c r="C289" t="s">
        <v>23</v>
      </c>
      <c r="D289" t="s">
        <v>11</v>
      </c>
      <c r="E289" t="s">
        <v>12</v>
      </c>
      <c r="F289">
        <v>67</v>
      </c>
      <c r="G289">
        <v>89</v>
      </c>
      <c r="H289">
        <v>82</v>
      </c>
    </row>
    <row r="290" spans="1:8" x14ac:dyDescent="0.25">
      <c r="A290" t="s">
        <v>17</v>
      </c>
      <c r="B290" t="s">
        <v>9</v>
      </c>
      <c r="C290" t="s">
        <v>10</v>
      </c>
      <c r="D290" t="s">
        <v>20</v>
      </c>
      <c r="E290" t="s">
        <v>12</v>
      </c>
      <c r="F290">
        <v>88</v>
      </c>
      <c r="G290">
        <v>75</v>
      </c>
      <c r="H290">
        <v>76</v>
      </c>
    </row>
    <row r="291" spans="1:8" x14ac:dyDescent="0.25">
      <c r="A291" t="s">
        <v>17</v>
      </c>
      <c r="B291" t="s">
        <v>24</v>
      </c>
      <c r="C291" t="s">
        <v>23</v>
      </c>
      <c r="D291" t="s">
        <v>11</v>
      </c>
      <c r="E291" t="s">
        <v>15</v>
      </c>
      <c r="F291">
        <v>77</v>
      </c>
      <c r="G291">
        <v>76</v>
      </c>
      <c r="H291">
        <v>77</v>
      </c>
    </row>
    <row r="292" spans="1:8" x14ac:dyDescent="0.25">
      <c r="A292" t="s">
        <v>17</v>
      </c>
      <c r="B292" t="s">
        <v>13</v>
      </c>
      <c r="C292" t="s">
        <v>19</v>
      </c>
      <c r="D292" t="s">
        <v>11</v>
      </c>
      <c r="E292" t="s">
        <v>12</v>
      </c>
      <c r="F292">
        <v>76</v>
      </c>
      <c r="G292">
        <v>70</v>
      </c>
      <c r="H292">
        <v>68</v>
      </c>
    </row>
    <row r="293" spans="1:8" x14ac:dyDescent="0.25">
      <c r="A293" t="s">
        <v>17</v>
      </c>
      <c r="B293" t="s">
        <v>21</v>
      </c>
      <c r="C293" t="s">
        <v>23</v>
      </c>
      <c r="D293" t="s">
        <v>11</v>
      </c>
      <c r="E293" t="s">
        <v>12</v>
      </c>
      <c r="F293">
        <v>86</v>
      </c>
      <c r="G293">
        <v>73</v>
      </c>
      <c r="H293">
        <v>70</v>
      </c>
    </row>
    <row r="294" spans="1:8" x14ac:dyDescent="0.25">
      <c r="A294" t="s">
        <v>17</v>
      </c>
      <c r="B294" t="s">
        <v>13</v>
      </c>
      <c r="C294" t="s">
        <v>23</v>
      </c>
      <c r="D294" t="s">
        <v>11</v>
      </c>
      <c r="E294" t="s">
        <v>15</v>
      </c>
      <c r="F294">
        <v>63</v>
      </c>
      <c r="G294">
        <v>60</v>
      </c>
      <c r="H294">
        <v>57</v>
      </c>
    </row>
    <row r="295" spans="1:8" x14ac:dyDescent="0.25">
      <c r="A295" t="s">
        <v>8</v>
      </c>
      <c r="B295" t="s">
        <v>24</v>
      </c>
      <c r="C295" t="s">
        <v>10</v>
      </c>
      <c r="D295" t="s">
        <v>11</v>
      </c>
      <c r="E295" t="s">
        <v>12</v>
      </c>
      <c r="F295">
        <v>65</v>
      </c>
      <c r="G295">
        <v>73</v>
      </c>
      <c r="H295">
        <v>75</v>
      </c>
    </row>
    <row r="296" spans="1:8" x14ac:dyDescent="0.25">
      <c r="A296" t="s">
        <v>17</v>
      </c>
      <c r="B296" t="s">
        <v>21</v>
      </c>
      <c r="C296" t="s">
        <v>22</v>
      </c>
      <c r="D296" t="s">
        <v>20</v>
      </c>
      <c r="E296" t="s">
        <v>15</v>
      </c>
      <c r="F296">
        <v>78</v>
      </c>
      <c r="G296">
        <v>77</v>
      </c>
      <c r="H296">
        <v>80</v>
      </c>
    </row>
    <row r="297" spans="1:8" x14ac:dyDescent="0.25">
      <c r="A297" t="s">
        <v>17</v>
      </c>
      <c r="B297" t="s">
        <v>9</v>
      </c>
      <c r="C297" t="s">
        <v>19</v>
      </c>
      <c r="D297" t="s">
        <v>20</v>
      </c>
      <c r="E297" t="s">
        <v>12</v>
      </c>
      <c r="F297">
        <v>67</v>
      </c>
      <c r="G297">
        <v>62</v>
      </c>
      <c r="H297">
        <v>60</v>
      </c>
    </row>
    <row r="298" spans="1:8" x14ac:dyDescent="0.25">
      <c r="A298" t="s">
        <v>17</v>
      </c>
      <c r="B298" t="s">
        <v>18</v>
      </c>
      <c r="C298" t="s">
        <v>23</v>
      </c>
      <c r="D298" t="s">
        <v>11</v>
      </c>
      <c r="E298" t="s">
        <v>15</v>
      </c>
      <c r="F298">
        <v>46</v>
      </c>
      <c r="G298">
        <v>41</v>
      </c>
      <c r="H298">
        <v>43</v>
      </c>
    </row>
    <row r="299" spans="1:8" x14ac:dyDescent="0.25">
      <c r="A299" t="s">
        <v>17</v>
      </c>
      <c r="B299" t="s">
        <v>24</v>
      </c>
      <c r="C299" t="s">
        <v>19</v>
      </c>
      <c r="D299" t="s">
        <v>11</v>
      </c>
      <c r="E299" t="s">
        <v>15</v>
      </c>
      <c r="F299">
        <v>71</v>
      </c>
      <c r="G299">
        <v>74</v>
      </c>
      <c r="H299">
        <v>68</v>
      </c>
    </row>
    <row r="300" spans="1:8" x14ac:dyDescent="0.25">
      <c r="A300" t="s">
        <v>17</v>
      </c>
      <c r="B300" t="s">
        <v>13</v>
      </c>
      <c r="C300" t="s">
        <v>22</v>
      </c>
      <c r="D300" t="s">
        <v>20</v>
      </c>
      <c r="E300" t="s">
        <v>15</v>
      </c>
      <c r="F300">
        <v>40</v>
      </c>
      <c r="G300">
        <v>46</v>
      </c>
      <c r="H300">
        <v>50</v>
      </c>
    </row>
    <row r="301" spans="1:8" x14ac:dyDescent="0.25">
      <c r="A301" t="s">
        <v>17</v>
      </c>
      <c r="B301" t="s">
        <v>21</v>
      </c>
      <c r="C301" t="s">
        <v>19</v>
      </c>
      <c r="D301" t="s">
        <v>20</v>
      </c>
      <c r="E301" t="s">
        <v>12</v>
      </c>
      <c r="F301">
        <v>90</v>
      </c>
      <c r="G301">
        <v>87</v>
      </c>
      <c r="H301">
        <v>75</v>
      </c>
    </row>
    <row r="302" spans="1:8" x14ac:dyDescent="0.25">
      <c r="A302" t="s">
        <v>17</v>
      </c>
      <c r="B302" t="s">
        <v>18</v>
      </c>
      <c r="C302" t="s">
        <v>14</v>
      </c>
      <c r="D302" t="s">
        <v>20</v>
      </c>
      <c r="E302" t="s">
        <v>15</v>
      </c>
      <c r="F302">
        <v>81</v>
      </c>
      <c r="G302">
        <v>78</v>
      </c>
      <c r="H302">
        <v>81</v>
      </c>
    </row>
    <row r="303" spans="1:8" x14ac:dyDescent="0.25">
      <c r="A303" t="s">
        <v>17</v>
      </c>
      <c r="B303" t="s">
        <v>21</v>
      </c>
      <c r="C303" t="s">
        <v>23</v>
      </c>
      <c r="D303" t="s">
        <v>20</v>
      </c>
      <c r="E303" t="s">
        <v>12</v>
      </c>
      <c r="F303">
        <v>56</v>
      </c>
      <c r="G303">
        <v>54</v>
      </c>
      <c r="H303">
        <v>52</v>
      </c>
    </row>
    <row r="304" spans="1:8" x14ac:dyDescent="0.25">
      <c r="A304" t="s">
        <v>8</v>
      </c>
      <c r="B304" t="s">
        <v>13</v>
      </c>
      <c r="C304" t="s">
        <v>19</v>
      </c>
      <c r="D304" t="s">
        <v>11</v>
      </c>
      <c r="E304" t="s">
        <v>15</v>
      </c>
      <c r="F304">
        <v>67</v>
      </c>
      <c r="G304">
        <v>84</v>
      </c>
      <c r="H304">
        <v>81</v>
      </c>
    </row>
    <row r="305" spans="1:8" x14ac:dyDescent="0.25">
      <c r="A305" t="s">
        <v>17</v>
      </c>
      <c r="B305" t="s">
        <v>9</v>
      </c>
      <c r="C305" t="s">
        <v>19</v>
      </c>
      <c r="D305" t="s">
        <v>11</v>
      </c>
      <c r="E305" t="s">
        <v>12</v>
      </c>
      <c r="F305">
        <v>80</v>
      </c>
      <c r="G305">
        <v>76</v>
      </c>
      <c r="H305">
        <v>64</v>
      </c>
    </row>
    <row r="306" spans="1:8" x14ac:dyDescent="0.25">
      <c r="A306" t="s">
        <v>8</v>
      </c>
      <c r="B306" t="s">
        <v>13</v>
      </c>
      <c r="C306" t="s">
        <v>19</v>
      </c>
      <c r="D306" t="s">
        <v>11</v>
      </c>
      <c r="E306" t="s">
        <v>15</v>
      </c>
      <c r="F306">
        <v>74</v>
      </c>
      <c r="G306">
        <v>75</v>
      </c>
      <c r="H306">
        <v>83</v>
      </c>
    </row>
    <row r="307" spans="1:8" x14ac:dyDescent="0.25">
      <c r="A307" t="s">
        <v>17</v>
      </c>
      <c r="B307" t="s">
        <v>18</v>
      </c>
      <c r="C307" t="s">
        <v>14</v>
      </c>
      <c r="D307" t="s">
        <v>11</v>
      </c>
      <c r="E307" t="s">
        <v>12</v>
      </c>
      <c r="F307">
        <v>69</v>
      </c>
      <c r="G307">
        <v>67</v>
      </c>
      <c r="H307">
        <v>69</v>
      </c>
    </row>
    <row r="308" spans="1:8" x14ac:dyDescent="0.25">
      <c r="A308" t="s">
        <v>17</v>
      </c>
      <c r="B308" t="s">
        <v>24</v>
      </c>
      <c r="C308" t="s">
        <v>14</v>
      </c>
      <c r="D308" t="s">
        <v>11</v>
      </c>
      <c r="E308" t="s">
        <v>15</v>
      </c>
      <c r="F308">
        <v>99</v>
      </c>
      <c r="G308">
        <v>87</v>
      </c>
      <c r="H308">
        <v>81</v>
      </c>
    </row>
    <row r="309" spans="1:8" x14ac:dyDescent="0.25">
      <c r="A309" t="s">
        <v>17</v>
      </c>
      <c r="B309" t="s">
        <v>13</v>
      </c>
      <c r="C309" t="s">
        <v>23</v>
      </c>
      <c r="D309" t="s">
        <v>11</v>
      </c>
      <c r="E309" t="s">
        <v>12</v>
      </c>
      <c r="F309">
        <v>51</v>
      </c>
      <c r="G309">
        <v>52</v>
      </c>
      <c r="H309">
        <v>44</v>
      </c>
    </row>
    <row r="310" spans="1:8" x14ac:dyDescent="0.25">
      <c r="A310" t="s">
        <v>8</v>
      </c>
      <c r="B310" t="s">
        <v>9</v>
      </c>
      <c r="C310" t="s">
        <v>19</v>
      </c>
      <c r="D310" t="s">
        <v>20</v>
      </c>
      <c r="E310" t="s">
        <v>12</v>
      </c>
      <c r="F310">
        <v>53</v>
      </c>
      <c r="G310">
        <v>71</v>
      </c>
      <c r="H310">
        <v>67</v>
      </c>
    </row>
    <row r="311" spans="1:8" x14ac:dyDescent="0.25">
      <c r="A311" t="s">
        <v>8</v>
      </c>
      <c r="B311" t="s">
        <v>21</v>
      </c>
      <c r="C311" t="s">
        <v>22</v>
      </c>
      <c r="D311" t="s">
        <v>20</v>
      </c>
      <c r="E311" t="s">
        <v>12</v>
      </c>
      <c r="F311">
        <v>49</v>
      </c>
      <c r="G311">
        <v>57</v>
      </c>
      <c r="H311">
        <v>52</v>
      </c>
    </row>
    <row r="312" spans="1:8" x14ac:dyDescent="0.25">
      <c r="A312" t="s">
        <v>8</v>
      </c>
      <c r="B312" t="s">
        <v>9</v>
      </c>
      <c r="C312" t="s">
        <v>19</v>
      </c>
      <c r="D312" t="s">
        <v>11</v>
      </c>
      <c r="E312" t="s">
        <v>12</v>
      </c>
      <c r="F312">
        <v>73</v>
      </c>
      <c r="G312">
        <v>76</v>
      </c>
      <c r="H312">
        <v>80</v>
      </c>
    </row>
    <row r="313" spans="1:8" x14ac:dyDescent="0.25">
      <c r="A313" t="s">
        <v>17</v>
      </c>
      <c r="B313" t="s">
        <v>9</v>
      </c>
      <c r="C313" t="s">
        <v>10</v>
      </c>
      <c r="D313" t="s">
        <v>11</v>
      </c>
      <c r="E313" t="s">
        <v>12</v>
      </c>
      <c r="F313">
        <v>66</v>
      </c>
      <c r="G313">
        <v>60</v>
      </c>
      <c r="H313">
        <v>57</v>
      </c>
    </row>
    <row r="314" spans="1:8" x14ac:dyDescent="0.25">
      <c r="A314" t="s">
        <v>17</v>
      </c>
      <c r="B314" t="s">
        <v>21</v>
      </c>
      <c r="C314" t="s">
        <v>10</v>
      </c>
      <c r="D314" t="s">
        <v>11</v>
      </c>
      <c r="E314" t="s">
        <v>15</v>
      </c>
      <c r="F314">
        <v>67</v>
      </c>
      <c r="G314">
        <v>61</v>
      </c>
      <c r="H314">
        <v>68</v>
      </c>
    </row>
    <row r="315" spans="1:8" x14ac:dyDescent="0.25">
      <c r="A315" t="s">
        <v>8</v>
      </c>
      <c r="B315" t="s">
        <v>13</v>
      </c>
      <c r="C315" t="s">
        <v>19</v>
      </c>
      <c r="D315" t="s">
        <v>20</v>
      </c>
      <c r="E315" t="s">
        <v>15</v>
      </c>
      <c r="F315">
        <v>68</v>
      </c>
      <c r="G315">
        <v>67</v>
      </c>
      <c r="H315">
        <v>69</v>
      </c>
    </row>
    <row r="316" spans="1:8" x14ac:dyDescent="0.25">
      <c r="A316" t="s">
        <v>8</v>
      </c>
      <c r="B316" t="s">
        <v>13</v>
      </c>
      <c r="C316" t="s">
        <v>10</v>
      </c>
      <c r="D316" t="s">
        <v>11</v>
      </c>
      <c r="E316" t="s">
        <v>15</v>
      </c>
      <c r="F316">
        <v>59</v>
      </c>
      <c r="G316">
        <v>64</v>
      </c>
      <c r="H316">
        <v>75</v>
      </c>
    </row>
    <row r="317" spans="1:8" x14ac:dyDescent="0.25">
      <c r="A317" t="s">
        <v>17</v>
      </c>
      <c r="B317" t="s">
        <v>13</v>
      </c>
      <c r="C317" t="s">
        <v>22</v>
      </c>
      <c r="D317" t="s">
        <v>11</v>
      </c>
      <c r="E317" t="s">
        <v>12</v>
      </c>
      <c r="F317">
        <v>71</v>
      </c>
      <c r="G317">
        <v>66</v>
      </c>
      <c r="H317">
        <v>65</v>
      </c>
    </row>
    <row r="318" spans="1:8" x14ac:dyDescent="0.25">
      <c r="A318" t="s">
        <v>8</v>
      </c>
      <c r="B318" t="s">
        <v>21</v>
      </c>
      <c r="C318" t="s">
        <v>16</v>
      </c>
      <c r="D318" t="s">
        <v>11</v>
      </c>
      <c r="E318" t="s">
        <v>15</v>
      </c>
      <c r="F318">
        <v>77</v>
      </c>
      <c r="G318">
        <v>82</v>
      </c>
      <c r="H318">
        <v>91</v>
      </c>
    </row>
    <row r="319" spans="1:8" x14ac:dyDescent="0.25">
      <c r="A319" t="s">
        <v>17</v>
      </c>
      <c r="B319" t="s">
        <v>13</v>
      </c>
      <c r="C319" t="s">
        <v>19</v>
      </c>
      <c r="D319" t="s">
        <v>11</v>
      </c>
      <c r="E319" t="s">
        <v>12</v>
      </c>
      <c r="F319">
        <v>83</v>
      </c>
      <c r="G319">
        <v>72</v>
      </c>
      <c r="H319">
        <v>78</v>
      </c>
    </row>
    <row r="320" spans="1:8" x14ac:dyDescent="0.25">
      <c r="A320" t="s">
        <v>17</v>
      </c>
      <c r="B320" t="s">
        <v>9</v>
      </c>
      <c r="C320" t="s">
        <v>10</v>
      </c>
      <c r="D320" t="s">
        <v>11</v>
      </c>
      <c r="E320" t="s">
        <v>12</v>
      </c>
      <c r="F320">
        <v>63</v>
      </c>
      <c r="G320">
        <v>71</v>
      </c>
      <c r="H320">
        <v>69</v>
      </c>
    </row>
    <row r="321" spans="1:8" x14ac:dyDescent="0.25">
      <c r="A321" t="s">
        <v>8</v>
      </c>
      <c r="B321" t="s">
        <v>21</v>
      </c>
      <c r="C321" t="s">
        <v>19</v>
      </c>
      <c r="D321" t="s">
        <v>20</v>
      </c>
      <c r="E321" t="s">
        <v>12</v>
      </c>
      <c r="F321">
        <v>56</v>
      </c>
      <c r="G321">
        <v>65</v>
      </c>
      <c r="H321">
        <v>63</v>
      </c>
    </row>
    <row r="322" spans="1:8" x14ac:dyDescent="0.25">
      <c r="A322" t="s">
        <v>8</v>
      </c>
      <c r="B322" t="s">
        <v>13</v>
      </c>
      <c r="C322" t="s">
        <v>22</v>
      </c>
      <c r="D322" t="s">
        <v>20</v>
      </c>
      <c r="E322" t="s">
        <v>15</v>
      </c>
      <c r="F322">
        <v>67</v>
      </c>
      <c r="G322">
        <v>79</v>
      </c>
      <c r="H322">
        <v>84</v>
      </c>
    </row>
    <row r="323" spans="1:8" x14ac:dyDescent="0.25">
      <c r="A323" t="s">
        <v>8</v>
      </c>
      <c r="B323" t="s">
        <v>24</v>
      </c>
      <c r="C323" t="s">
        <v>22</v>
      </c>
      <c r="D323" t="s">
        <v>11</v>
      </c>
      <c r="E323" t="s">
        <v>12</v>
      </c>
      <c r="F323">
        <v>75</v>
      </c>
      <c r="G323">
        <v>86</v>
      </c>
      <c r="H323">
        <v>79</v>
      </c>
    </row>
    <row r="324" spans="1:8" x14ac:dyDescent="0.25">
      <c r="A324" t="s">
        <v>8</v>
      </c>
      <c r="B324" t="s">
        <v>13</v>
      </c>
      <c r="C324" t="s">
        <v>14</v>
      </c>
      <c r="D324" t="s">
        <v>11</v>
      </c>
      <c r="E324" t="s">
        <v>12</v>
      </c>
      <c r="F324">
        <v>71</v>
      </c>
      <c r="G324">
        <v>81</v>
      </c>
      <c r="H324">
        <v>80</v>
      </c>
    </row>
    <row r="325" spans="1:8" x14ac:dyDescent="0.25">
      <c r="A325" t="s">
        <v>8</v>
      </c>
      <c r="B325" t="s">
        <v>13</v>
      </c>
      <c r="C325" t="s">
        <v>23</v>
      </c>
      <c r="D325" t="s">
        <v>20</v>
      </c>
      <c r="E325" t="s">
        <v>12</v>
      </c>
      <c r="F325">
        <v>43</v>
      </c>
      <c r="G325">
        <v>53</v>
      </c>
      <c r="H325">
        <v>53</v>
      </c>
    </row>
    <row r="326" spans="1:8" x14ac:dyDescent="0.25">
      <c r="A326" t="s">
        <v>8</v>
      </c>
      <c r="B326" t="s">
        <v>13</v>
      </c>
      <c r="C326" t="s">
        <v>22</v>
      </c>
      <c r="D326" t="s">
        <v>20</v>
      </c>
      <c r="E326" t="s">
        <v>12</v>
      </c>
      <c r="F326">
        <v>41</v>
      </c>
      <c r="G326">
        <v>46</v>
      </c>
      <c r="H326">
        <v>43</v>
      </c>
    </row>
    <row r="327" spans="1:8" x14ac:dyDescent="0.25">
      <c r="A327" t="s">
        <v>8</v>
      </c>
      <c r="B327" t="s">
        <v>13</v>
      </c>
      <c r="C327" t="s">
        <v>14</v>
      </c>
      <c r="D327" t="s">
        <v>11</v>
      </c>
      <c r="E327" t="s">
        <v>12</v>
      </c>
      <c r="F327">
        <v>82</v>
      </c>
      <c r="G327">
        <v>90</v>
      </c>
      <c r="H327">
        <v>94</v>
      </c>
    </row>
    <row r="328" spans="1:8" x14ac:dyDescent="0.25">
      <c r="A328" t="s">
        <v>17</v>
      </c>
      <c r="B328" t="s">
        <v>13</v>
      </c>
      <c r="C328" t="s">
        <v>14</v>
      </c>
      <c r="D328" t="s">
        <v>11</v>
      </c>
      <c r="E328" t="s">
        <v>12</v>
      </c>
      <c r="F328">
        <v>61</v>
      </c>
      <c r="G328">
        <v>61</v>
      </c>
      <c r="H328">
        <v>62</v>
      </c>
    </row>
    <row r="329" spans="1:8" x14ac:dyDescent="0.25">
      <c r="A329" t="s">
        <v>17</v>
      </c>
      <c r="B329" t="s">
        <v>18</v>
      </c>
      <c r="C329" t="s">
        <v>14</v>
      </c>
      <c r="D329" t="s">
        <v>20</v>
      </c>
      <c r="E329" t="s">
        <v>12</v>
      </c>
      <c r="F329">
        <v>28</v>
      </c>
      <c r="G329">
        <v>23</v>
      </c>
      <c r="H329">
        <v>19</v>
      </c>
    </row>
    <row r="330" spans="1:8" x14ac:dyDescent="0.25">
      <c r="A330" t="s">
        <v>17</v>
      </c>
      <c r="B330" t="s">
        <v>13</v>
      </c>
      <c r="C330" t="s">
        <v>19</v>
      </c>
      <c r="D330" t="s">
        <v>11</v>
      </c>
      <c r="E330" t="s">
        <v>15</v>
      </c>
      <c r="F330">
        <v>82</v>
      </c>
      <c r="G330">
        <v>75</v>
      </c>
      <c r="H330">
        <v>77</v>
      </c>
    </row>
    <row r="331" spans="1:8" x14ac:dyDescent="0.25">
      <c r="A331" t="s">
        <v>8</v>
      </c>
      <c r="B331" t="s">
        <v>9</v>
      </c>
      <c r="C331" t="s">
        <v>23</v>
      </c>
      <c r="D331" t="s">
        <v>11</v>
      </c>
      <c r="E331" t="s">
        <v>12</v>
      </c>
      <c r="F331">
        <v>41</v>
      </c>
      <c r="G331">
        <v>55</v>
      </c>
      <c r="H331">
        <v>51</v>
      </c>
    </row>
    <row r="332" spans="1:8" x14ac:dyDescent="0.25">
      <c r="A332" t="s">
        <v>17</v>
      </c>
      <c r="B332" t="s">
        <v>13</v>
      </c>
      <c r="C332" t="s">
        <v>22</v>
      </c>
      <c r="D332" t="s">
        <v>11</v>
      </c>
      <c r="E332" t="s">
        <v>12</v>
      </c>
      <c r="F332">
        <v>71</v>
      </c>
      <c r="G332">
        <v>60</v>
      </c>
      <c r="H332">
        <v>61</v>
      </c>
    </row>
    <row r="333" spans="1:8" x14ac:dyDescent="0.25">
      <c r="A333" t="s">
        <v>17</v>
      </c>
      <c r="B333" t="s">
        <v>13</v>
      </c>
      <c r="C333" t="s">
        <v>19</v>
      </c>
      <c r="D333" t="s">
        <v>11</v>
      </c>
      <c r="E333" t="s">
        <v>12</v>
      </c>
      <c r="F333">
        <v>47</v>
      </c>
      <c r="G333">
        <v>37</v>
      </c>
      <c r="H333">
        <v>35</v>
      </c>
    </row>
    <row r="334" spans="1:8" x14ac:dyDescent="0.25">
      <c r="A334" t="s">
        <v>17</v>
      </c>
      <c r="B334" t="s">
        <v>24</v>
      </c>
      <c r="C334" t="s">
        <v>19</v>
      </c>
      <c r="D334" t="s">
        <v>11</v>
      </c>
      <c r="E334" t="s">
        <v>15</v>
      </c>
      <c r="F334">
        <v>62</v>
      </c>
      <c r="G334">
        <v>56</v>
      </c>
      <c r="H334">
        <v>53</v>
      </c>
    </row>
    <row r="335" spans="1:8" x14ac:dyDescent="0.25">
      <c r="A335" t="s">
        <v>17</v>
      </c>
      <c r="B335" t="s">
        <v>9</v>
      </c>
      <c r="C335" t="s">
        <v>19</v>
      </c>
      <c r="D335" t="s">
        <v>11</v>
      </c>
      <c r="E335" t="s">
        <v>12</v>
      </c>
      <c r="F335">
        <v>90</v>
      </c>
      <c r="G335">
        <v>78</v>
      </c>
      <c r="H335">
        <v>81</v>
      </c>
    </row>
    <row r="336" spans="1:8" x14ac:dyDescent="0.25">
      <c r="A336" t="s">
        <v>8</v>
      </c>
      <c r="B336" t="s">
        <v>13</v>
      </c>
      <c r="C336" t="s">
        <v>10</v>
      </c>
      <c r="D336" t="s">
        <v>11</v>
      </c>
      <c r="E336" t="s">
        <v>12</v>
      </c>
      <c r="F336">
        <v>83</v>
      </c>
      <c r="G336">
        <v>93</v>
      </c>
      <c r="H336">
        <v>95</v>
      </c>
    </row>
    <row r="337" spans="1:8" x14ac:dyDescent="0.25">
      <c r="A337" t="s">
        <v>8</v>
      </c>
      <c r="B337" t="s">
        <v>9</v>
      </c>
      <c r="C337" t="s">
        <v>14</v>
      </c>
      <c r="D337" t="s">
        <v>20</v>
      </c>
      <c r="E337" t="s">
        <v>12</v>
      </c>
      <c r="F337">
        <v>61</v>
      </c>
      <c r="G337">
        <v>68</v>
      </c>
      <c r="H337">
        <v>66</v>
      </c>
    </row>
    <row r="338" spans="1:8" x14ac:dyDescent="0.25">
      <c r="A338" t="s">
        <v>17</v>
      </c>
      <c r="B338" t="s">
        <v>21</v>
      </c>
      <c r="C338" t="s">
        <v>23</v>
      </c>
      <c r="D338" t="s">
        <v>11</v>
      </c>
      <c r="E338" t="s">
        <v>15</v>
      </c>
      <c r="F338">
        <v>76</v>
      </c>
      <c r="G338">
        <v>70</v>
      </c>
      <c r="H338">
        <v>69</v>
      </c>
    </row>
    <row r="339" spans="1:8" x14ac:dyDescent="0.25">
      <c r="A339" t="s">
        <v>17</v>
      </c>
      <c r="B339" t="s">
        <v>13</v>
      </c>
      <c r="C339" t="s">
        <v>19</v>
      </c>
      <c r="D339" t="s">
        <v>11</v>
      </c>
      <c r="E339" t="s">
        <v>12</v>
      </c>
      <c r="F339">
        <v>49</v>
      </c>
      <c r="G339">
        <v>51</v>
      </c>
      <c r="H339">
        <v>43</v>
      </c>
    </row>
    <row r="340" spans="1:8" x14ac:dyDescent="0.25">
      <c r="A340" t="s">
        <v>8</v>
      </c>
      <c r="B340" t="s">
        <v>9</v>
      </c>
      <c r="C340" t="s">
        <v>23</v>
      </c>
      <c r="D340" t="s">
        <v>20</v>
      </c>
      <c r="E340" t="s">
        <v>12</v>
      </c>
      <c r="F340">
        <v>24</v>
      </c>
      <c r="G340">
        <v>38</v>
      </c>
      <c r="H340">
        <v>27</v>
      </c>
    </row>
    <row r="341" spans="1:8" x14ac:dyDescent="0.25">
      <c r="A341" t="s">
        <v>8</v>
      </c>
      <c r="B341" t="s">
        <v>21</v>
      </c>
      <c r="C341" t="s">
        <v>23</v>
      </c>
      <c r="D341" t="s">
        <v>20</v>
      </c>
      <c r="E341" t="s">
        <v>15</v>
      </c>
      <c r="F341">
        <v>35</v>
      </c>
      <c r="G341">
        <v>55</v>
      </c>
      <c r="H341">
        <v>60</v>
      </c>
    </row>
    <row r="342" spans="1:8" x14ac:dyDescent="0.25">
      <c r="A342" t="s">
        <v>17</v>
      </c>
      <c r="B342" t="s">
        <v>13</v>
      </c>
      <c r="C342" t="s">
        <v>22</v>
      </c>
      <c r="D342" t="s">
        <v>20</v>
      </c>
      <c r="E342" t="s">
        <v>12</v>
      </c>
      <c r="F342">
        <v>58</v>
      </c>
      <c r="G342">
        <v>61</v>
      </c>
      <c r="H342">
        <v>52</v>
      </c>
    </row>
    <row r="343" spans="1:8" x14ac:dyDescent="0.25">
      <c r="A343" t="s">
        <v>8</v>
      </c>
      <c r="B343" t="s">
        <v>13</v>
      </c>
      <c r="C343" t="s">
        <v>22</v>
      </c>
      <c r="D343" t="s">
        <v>11</v>
      </c>
      <c r="E343" t="s">
        <v>12</v>
      </c>
      <c r="F343">
        <v>61</v>
      </c>
      <c r="G343">
        <v>73</v>
      </c>
      <c r="H343">
        <v>63</v>
      </c>
    </row>
    <row r="344" spans="1:8" x14ac:dyDescent="0.25">
      <c r="A344" t="s">
        <v>8</v>
      </c>
      <c r="B344" t="s">
        <v>9</v>
      </c>
      <c r="C344" t="s">
        <v>22</v>
      </c>
      <c r="D344" t="s">
        <v>11</v>
      </c>
      <c r="E344" t="s">
        <v>15</v>
      </c>
      <c r="F344">
        <v>69</v>
      </c>
      <c r="G344">
        <v>76</v>
      </c>
      <c r="H344">
        <v>74</v>
      </c>
    </row>
    <row r="345" spans="1:8" x14ac:dyDescent="0.25">
      <c r="A345" t="s">
        <v>17</v>
      </c>
      <c r="B345" t="s">
        <v>21</v>
      </c>
      <c r="C345" t="s">
        <v>19</v>
      </c>
      <c r="D345" t="s">
        <v>11</v>
      </c>
      <c r="E345" t="s">
        <v>15</v>
      </c>
      <c r="F345">
        <v>67</v>
      </c>
      <c r="G345">
        <v>72</v>
      </c>
      <c r="H345">
        <v>67</v>
      </c>
    </row>
    <row r="346" spans="1:8" x14ac:dyDescent="0.25">
      <c r="A346" t="s">
        <v>17</v>
      </c>
      <c r="B346" t="s">
        <v>21</v>
      </c>
      <c r="C346" t="s">
        <v>14</v>
      </c>
      <c r="D346" t="s">
        <v>11</v>
      </c>
      <c r="E346" t="s">
        <v>12</v>
      </c>
      <c r="F346">
        <v>79</v>
      </c>
      <c r="G346">
        <v>73</v>
      </c>
      <c r="H346">
        <v>67</v>
      </c>
    </row>
    <row r="347" spans="1:8" x14ac:dyDescent="0.25">
      <c r="A347" t="s">
        <v>8</v>
      </c>
      <c r="B347" t="s">
        <v>13</v>
      </c>
      <c r="C347" t="s">
        <v>22</v>
      </c>
      <c r="D347" t="s">
        <v>11</v>
      </c>
      <c r="E347" t="s">
        <v>12</v>
      </c>
      <c r="F347">
        <v>72</v>
      </c>
      <c r="G347">
        <v>80</v>
      </c>
      <c r="H347">
        <v>75</v>
      </c>
    </row>
    <row r="348" spans="1:8" x14ac:dyDescent="0.25">
      <c r="A348" t="s">
        <v>17</v>
      </c>
      <c r="B348" t="s">
        <v>9</v>
      </c>
      <c r="C348" t="s">
        <v>14</v>
      </c>
      <c r="D348" t="s">
        <v>11</v>
      </c>
      <c r="E348" t="s">
        <v>12</v>
      </c>
      <c r="F348">
        <v>62</v>
      </c>
      <c r="G348">
        <v>61</v>
      </c>
      <c r="H348">
        <v>57</v>
      </c>
    </row>
    <row r="349" spans="1:8" x14ac:dyDescent="0.25">
      <c r="A349" t="s">
        <v>8</v>
      </c>
      <c r="B349" t="s">
        <v>13</v>
      </c>
      <c r="C349" t="s">
        <v>10</v>
      </c>
      <c r="D349" t="s">
        <v>11</v>
      </c>
      <c r="E349" t="s">
        <v>15</v>
      </c>
      <c r="F349">
        <v>77</v>
      </c>
      <c r="G349">
        <v>94</v>
      </c>
      <c r="H349">
        <v>95</v>
      </c>
    </row>
    <row r="350" spans="1:8" x14ac:dyDescent="0.25">
      <c r="A350" t="s">
        <v>17</v>
      </c>
      <c r="B350" t="s">
        <v>21</v>
      </c>
      <c r="C350" t="s">
        <v>22</v>
      </c>
      <c r="D350" t="s">
        <v>20</v>
      </c>
      <c r="E350" t="s">
        <v>12</v>
      </c>
      <c r="F350">
        <v>75</v>
      </c>
      <c r="G350">
        <v>74</v>
      </c>
      <c r="H350">
        <v>66</v>
      </c>
    </row>
    <row r="351" spans="1:8" x14ac:dyDescent="0.25">
      <c r="A351" t="s">
        <v>17</v>
      </c>
      <c r="B351" t="s">
        <v>24</v>
      </c>
      <c r="C351" t="s">
        <v>19</v>
      </c>
      <c r="D351" t="s">
        <v>11</v>
      </c>
      <c r="E351" t="s">
        <v>12</v>
      </c>
      <c r="F351">
        <v>87</v>
      </c>
      <c r="G351">
        <v>74</v>
      </c>
      <c r="H351">
        <v>76</v>
      </c>
    </row>
    <row r="352" spans="1:8" x14ac:dyDescent="0.25">
      <c r="A352" t="s">
        <v>8</v>
      </c>
      <c r="B352" t="s">
        <v>9</v>
      </c>
      <c r="C352" t="s">
        <v>10</v>
      </c>
      <c r="D352" t="s">
        <v>11</v>
      </c>
      <c r="E352" t="s">
        <v>12</v>
      </c>
      <c r="F352">
        <v>52</v>
      </c>
      <c r="G352">
        <v>65</v>
      </c>
      <c r="H352">
        <v>69</v>
      </c>
    </row>
    <row r="353" spans="1:8" x14ac:dyDescent="0.25">
      <c r="A353" t="s">
        <v>17</v>
      </c>
      <c r="B353" t="s">
        <v>24</v>
      </c>
      <c r="C353" t="s">
        <v>14</v>
      </c>
      <c r="D353" t="s">
        <v>11</v>
      </c>
      <c r="E353" t="s">
        <v>12</v>
      </c>
      <c r="F353">
        <v>66</v>
      </c>
      <c r="G353">
        <v>57</v>
      </c>
      <c r="H353">
        <v>52</v>
      </c>
    </row>
    <row r="354" spans="1:8" x14ac:dyDescent="0.25">
      <c r="A354" t="s">
        <v>8</v>
      </c>
      <c r="B354" t="s">
        <v>13</v>
      </c>
      <c r="C354" t="s">
        <v>14</v>
      </c>
      <c r="D354" t="s">
        <v>11</v>
      </c>
      <c r="E354" t="s">
        <v>15</v>
      </c>
      <c r="F354">
        <v>63</v>
      </c>
      <c r="G354">
        <v>78</v>
      </c>
      <c r="H354">
        <v>80</v>
      </c>
    </row>
    <row r="355" spans="1:8" x14ac:dyDescent="0.25">
      <c r="A355" t="s">
        <v>8</v>
      </c>
      <c r="B355" t="s">
        <v>13</v>
      </c>
      <c r="C355" t="s">
        <v>19</v>
      </c>
      <c r="D355" t="s">
        <v>11</v>
      </c>
      <c r="E355" t="s">
        <v>12</v>
      </c>
      <c r="F355">
        <v>46</v>
      </c>
      <c r="G355">
        <v>58</v>
      </c>
      <c r="H355">
        <v>57</v>
      </c>
    </row>
    <row r="356" spans="1:8" x14ac:dyDescent="0.25">
      <c r="A356" t="s">
        <v>8</v>
      </c>
      <c r="B356" t="s">
        <v>13</v>
      </c>
      <c r="C356" t="s">
        <v>14</v>
      </c>
      <c r="D356" t="s">
        <v>11</v>
      </c>
      <c r="E356" t="s">
        <v>12</v>
      </c>
      <c r="F356">
        <v>59</v>
      </c>
      <c r="G356">
        <v>71</v>
      </c>
      <c r="H356">
        <v>70</v>
      </c>
    </row>
    <row r="357" spans="1:8" x14ac:dyDescent="0.25">
      <c r="A357" t="s">
        <v>8</v>
      </c>
      <c r="B357" t="s">
        <v>9</v>
      </c>
      <c r="C357" t="s">
        <v>10</v>
      </c>
      <c r="D357" t="s">
        <v>11</v>
      </c>
      <c r="E357" t="s">
        <v>12</v>
      </c>
      <c r="F357">
        <v>61</v>
      </c>
      <c r="G357">
        <v>72</v>
      </c>
      <c r="H357">
        <v>70</v>
      </c>
    </row>
    <row r="358" spans="1:8" x14ac:dyDescent="0.25">
      <c r="A358" t="s">
        <v>17</v>
      </c>
      <c r="B358" t="s">
        <v>18</v>
      </c>
      <c r="C358" t="s">
        <v>19</v>
      </c>
      <c r="D358" t="s">
        <v>11</v>
      </c>
      <c r="E358" t="s">
        <v>12</v>
      </c>
      <c r="F358">
        <v>63</v>
      </c>
      <c r="G358">
        <v>61</v>
      </c>
      <c r="H358">
        <v>61</v>
      </c>
    </row>
    <row r="359" spans="1:8" x14ac:dyDescent="0.25">
      <c r="A359" t="s">
        <v>8</v>
      </c>
      <c r="B359" t="s">
        <v>13</v>
      </c>
      <c r="C359" t="s">
        <v>14</v>
      </c>
      <c r="D359" t="s">
        <v>20</v>
      </c>
      <c r="E359" t="s">
        <v>15</v>
      </c>
      <c r="F359">
        <v>42</v>
      </c>
      <c r="G359">
        <v>66</v>
      </c>
      <c r="H359">
        <v>69</v>
      </c>
    </row>
    <row r="360" spans="1:8" x14ac:dyDescent="0.25">
      <c r="A360" t="s">
        <v>17</v>
      </c>
      <c r="B360" t="s">
        <v>21</v>
      </c>
      <c r="C360" t="s">
        <v>14</v>
      </c>
      <c r="D360" t="s">
        <v>20</v>
      </c>
      <c r="E360" t="s">
        <v>12</v>
      </c>
      <c r="F360">
        <v>59</v>
      </c>
      <c r="G360">
        <v>62</v>
      </c>
      <c r="H360">
        <v>61</v>
      </c>
    </row>
    <row r="361" spans="1:8" x14ac:dyDescent="0.25">
      <c r="A361" t="s">
        <v>8</v>
      </c>
      <c r="B361" t="s">
        <v>21</v>
      </c>
      <c r="C361" t="s">
        <v>14</v>
      </c>
      <c r="D361" t="s">
        <v>11</v>
      </c>
      <c r="E361" t="s">
        <v>12</v>
      </c>
      <c r="F361">
        <v>80</v>
      </c>
      <c r="G361">
        <v>90</v>
      </c>
      <c r="H361">
        <v>89</v>
      </c>
    </row>
    <row r="362" spans="1:8" x14ac:dyDescent="0.25">
      <c r="A362" t="s">
        <v>8</v>
      </c>
      <c r="B362" t="s">
        <v>9</v>
      </c>
      <c r="C362" t="s">
        <v>22</v>
      </c>
      <c r="D362" t="s">
        <v>11</v>
      </c>
      <c r="E362" t="s">
        <v>12</v>
      </c>
      <c r="F362">
        <v>58</v>
      </c>
      <c r="G362">
        <v>62</v>
      </c>
      <c r="H362">
        <v>59</v>
      </c>
    </row>
    <row r="363" spans="1:8" x14ac:dyDescent="0.25">
      <c r="A363" t="s">
        <v>17</v>
      </c>
      <c r="B363" t="s">
        <v>9</v>
      </c>
      <c r="C363" t="s">
        <v>23</v>
      </c>
      <c r="D363" t="s">
        <v>11</v>
      </c>
      <c r="E363" t="s">
        <v>15</v>
      </c>
      <c r="F363">
        <v>85</v>
      </c>
      <c r="G363">
        <v>84</v>
      </c>
      <c r="H363">
        <v>78</v>
      </c>
    </row>
    <row r="364" spans="1:8" x14ac:dyDescent="0.25">
      <c r="A364" t="s">
        <v>8</v>
      </c>
      <c r="B364" t="s">
        <v>13</v>
      </c>
      <c r="C364" t="s">
        <v>14</v>
      </c>
      <c r="D364" t="s">
        <v>11</v>
      </c>
      <c r="E364" t="s">
        <v>12</v>
      </c>
      <c r="F364">
        <v>52</v>
      </c>
      <c r="G364">
        <v>58</v>
      </c>
      <c r="H364">
        <v>58</v>
      </c>
    </row>
    <row r="365" spans="1:8" x14ac:dyDescent="0.25">
      <c r="A365" t="s">
        <v>8</v>
      </c>
      <c r="B365" t="s">
        <v>21</v>
      </c>
      <c r="C365" t="s">
        <v>23</v>
      </c>
      <c r="D365" t="s">
        <v>20</v>
      </c>
      <c r="E365" t="s">
        <v>12</v>
      </c>
      <c r="F365">
        <v>27</v>
      </c>
      <c r="G365">
        <v>34</v>
      </c>
      <c r="H365">
        <v>32</v>
      </c>
    </row>
    <row r="366" spans="1:8" x14ac:dyDescent="0.25">
      <c r="A366" t="s">
        <v>17</v>
      </c>
      <c r="B366" t="s">
        <v>13</v>
      </c>
      <c r="C366" t="s">
        <v>14</v>
      </c>
      <c r="D366" t="s">
        <v>11</v>
      </c>
      <c r="E366" t="s">
        <v>12</v>
      </c>
      <c r="F366">
        <v>59</v>
      </c>
      <c r="G366">
        <v>60</v>
      </c>
      <c r="H366">
        <v>58</v>
      </c>
    </row>
    <row r="367" spans="1:8" x14ac:dyDescent="0.25">
      <c r="A367" t="s">
        <v>17</v>
      </c>
      <c r="B367" t="s">
        <v>18</v>
      </c>
      <c r="C367" t="s">
        <v>10</v>
      </c>
      <c r="D367" t="s">
        <v>20</v>
      </c>
      <c r="E367" t="s">
        <v>15</v>
      </c>
      <c r="F367">
        <v>49</v>
      </c>
      <c r="G367">
        <v>58</v>
      </c>
      <c r="H367">
        <v>60</v>
      </c>
    </row>
    <row r="368" spans="1:8" x14ac:dyDescent="0.25">
      <c r="A368" t="s">
        <v>17</v>
      </c>
      <c r="B368" t="s">
        <v>13</v>
      </c>
      <c r="C368" t="s">
        <v>22</v>
      </c>
      <c r="D368" t="s">
        <v>11</v>
      </c>
      <c r="E368" t="s">
        <v>15</v>
      </c>
      <c r="F368">
        <v>69</v>
      </c>
      <c r="G368">
        <v>58</v>
      </c>
      <c r="H368">
        <v>53</v>
      </c>
    </row>
    <row r="369" spans="1:8" x14ac:dyDescent="0.25">
      <c r="A369" t="s">
        <v>17</v>
      </c>
      <c r="B369" t="s">
        <v>13</v>
      </c>
      <c r="C369" t="s">
        <v>10</v>
      </c>
      <c r="D369" t="s">
        <v>20</v>
      </c>
      <c r="E369" t="s">
        <v>12</v>
      </c>
      <c r="F369">
        <v>61</v>
      </c>
      <c r="G369">
        <v>66</v>
      </c>
      <c r="H369">
        <v>61</v>
      </c>
    </row>
    <row r="370" spans="1:8" x14ac:dyDescent="0.25">
      <c r="A370" t="s">
        <v>8</v>
      </c>
      <c r="B370" t="s">
        <v>18</v>
      </c>
      <c r="C370" t="s">
        <v>23</v>
      </c>
      <c r="D370" t="s">
        <v>20</v>
      </c>
      <c r="E370" t="s">
        <v>12</v>
      </c>
      <c r="F370">
        <v>44</v>
      </c>
      <c r="G370">
        <v>64</v>
      </c>
      <c r="H370">
        <v>58</v>
      </c>
    </row>
    <row r="371" spans="1:8" x14ac:dyDescent="0.25">
      <c r="A371" t="s">
        <v>8</v>
      </c>
      <c r="B371" t="s">
        <v>21</v>
      </c>
      <c r="C371" t="s">
        <v>23</v>
      </c>
      <c r="D371" t="s">
        <v>11</v>
      </c>
      <c r="E371" t="s">
        <v>12</v>
      </c>
      <c r="F371">
        <v>73</v>
      </c>
      <c r="G371">
        <v>84</v>
      </c>
      <c r="H371">
        <v>85</v>
      </c>
    </row>
    <row r="372" spans="1:8" x14ac:dyDescent="0.25">
      <c r="A372" t="s">
        <v>17</v>
      </c>
      <c r="B372" t="s">
        <v>24</v>
      </c>
      <c r="C372" t="s">
        <v>14</v>
      </c>
      <c r="D372" t="s">
        <v>11</v>
      </c>
      <c r="E372" t="s">
        <v>12</v>
      </c>
      <c r="F372">
        <v>84</v>
      </c>
      <c r="G372">
        <v>77</v>
      </c>
      <c r="H372">
        <v>71</v>
      </c>
    </row>
    <row r="373" spans="1:8" x14ac:dyDescent="0.25">
      <c r="A373" t="s">
        <v>8</v>
      </c>
      <c r="B373" t="s">
        <v>13</v>
      </c>
      <c r="C373" t="s">
        <v>14</v>
      </c>
      <c r="D373" t="s">
        <v>20</v>
      </c>
      <c r="E373" t="s">
        <v>15</v>
      </c>
      <c r="F373">
        <v>45</v>
      </c>
      <c r="G373">
        <v>73</v>
      </c>
      <c r="H373">
        <v>70</v>
      </c>
    </row>
    <row r="374" spans="1:8" x14ac:dyDescent="0.25">
      <c r="A374" t="s">
        <v>17</v>
      </c>
      <c r="B374" t="s">
        <v>21</v>
      </c>
      <c r="C374" t="s">
        <v>23</v>
      </c>
      <c r="D374" t="s">
        <v>11</v>
      </c>
      <c r="E374" t="s">
        <v>12</v>
      </c>
      <c r="F374">
        <v>74</v>
      </c>
      <c r="G374">
        <v>74</v>
      </c>
      <c r="H374">
        <v>72</v>
      </c>
    </row>
    <row r="375" spans="1:8" x14ac:dyDescent="0.25">
      <c r="A375" t="s">
        <v>8</v>
      </c>
      <c r="B375" t="s">
        <v>21</v>
      </c>
      <c r="C375" t="s">
        <v>14</v>
      </c>
      <c r="D375" t="s">
        <v>11</v>
      </c>
      <c r="E375" t="s">
        <v>15</v>
      </c>
      <c r="F375">
        <v>82</v>
      </c>
      <c r="G375">
        <v>97</v>
      </c>
      <c r="H375">
        <v>96</v>
      </c>
    </row>
    <row r="376" spans="1:8" x14ac:dyDescent="0.25">
      <c r="A376" t="s">
        <v>8</v>
      </c>
      <c r="B376" t="s">
        <v>21</v>
      </c>
      <c r="C376" t="s">
        <v>10</v>
      </c>
      <c r="D376" t="s">
        <v>11</v>
      </c>
      <c r="E376" t="s">
        <v>12</v>
      </c>
      <c r="F376">
        <v>59</v>
      </c>
      <c r="G376">
        <v>70</v>
      </c>
      <c r="H376">
        <v>73</v>
      </c>
    </row>
    <row r="377" spans="1:8" x14ac:dyDescent="0.25">
      <c r="A377" t="s">
        <v>17</v>
      </c>
      <c r="B377" t="s">
        <v>24</v>
      </c>
      <c r="C377" t="s">
        <v>19</v>
      </c>
      <c r="D377" t="s">
        <v>20</v>
      </c>
      <c r="E377" t="s">
        <v>12</v>
      </c>
      <c r="F377">
        <v>46</v>
      </c>
      <c r="G377">
        <v>43</v>
      </c>
      <c r="H377">
        <v>41</v>
      </c>
    </row>
    <row r="378" spans="1:8" x14ac:dyDescent="0.25">
      <c r="A378" t="s">
        <v>8</v>
      </c>
      <c r="B378" t="s">
        <v>21</v>
      </c>
      <c r="C378" t="s">
        <v>23</v>
      </c>
      <c r="D378" t="s">
        <v>11</v>
      </c>
      <c r="E378" t="s">
        <v>12</v>
      </c>
      <c r="F378">
        <v>80</v>
      </c>
      <c r="G378">
        <v>90</v>
      </c>
      <c r="H378">
        <v>82</v>
      </c>
    </row>
    <row r="379" spans="1:8" x14ac:dyDescent="0.25">
      <c r="A379" t="s">
        <v>8</v>
      </c>
      <c r="B379" t="s">
        <v>21</v>
      </c>
      <c r="C379" t="s">
        <v>16</v>
      </c>
      <c r="D379" t="s">
        <v>20</v>
      </c>
      <c r="E379" t="s">
        <v>15</v>
      </c>
      <c r="F379">
        <v>85</v>
      </c>
      <c r="G379">
        <v>95</v>
      </c>
      <c r="H379">
        <v>100</v>
      </c>
    </row>
    <row r="380" spans="1:8" x14ac:dyDescent="0.25">
      <c r="A380" t="s">
        <v>8</v>
      </c>
      <c r="B380" t="s">
        <v>18</v>
      </c>
      <c r="C380" t="s">
        <v>23</v>
      </c>
      <c r="D380" t="s">
        <v>11</v>
      </c>
      <c r="E380" t="s">
        <v>12</v>
      </c>
      <c r="F380">
        <v>71</v>
      </c>
      <c r="G380">
        <v>83</v>
      </c>
      <c r="H380">
        <v>77</v>
      </c>
    </row>
    <row r="381" spans="1:8" x14ac:dyDescent="0.25">
      <c r="A381" t="s">
        <v>17</v>
      </c>
      <c r="B381" t="s">
        <v>18</v>
      </c>
      <c r="C381" t="s">
        <v>10</v>
      </c>
      <c r="D381" t="s">
        <v>11</v>
      </c>
      <c r="E381" t="s">
        <v>12</v>
      </c>
      <c r="F381">
        <v>66</v>
      </c>
      <c r="G381">
        <v>64</v>
      </c>
      <c r="H381">
        <v>62</v>
      </c>
    </row>
    <row r="382" spans="1:8" x14ac:dyDescent="0.25">
      <c r="A382" t="s">
        <v>8</v>
      </c>
      <c r="B382" t="s">
        <v>9</v>
      </c>
      <c r="C382" t="s">
        <v>19</v>
      </c>
      <c r="D382" t="s">
        <v>11</v>
      </c>
      <c r="E382" t="s">
        <v>12</v>
      </c>
      <c r="F382">
        <v>80</v>
      </c>
      <c r="G382">
        <v>86</v>
      </c>
      <c r="H382">
        <v>83</v>
      </c>
    </row>
    <row r="383" spans="1:8" x14ac:dyDescent="0.25">
      <c r="A383" t="s">
        <v>17</v>
      </c>
      <c r="B383" t="s">
        <v>13</v>
      </c>
      <c r="C383" t="s">
        <v>19</v>
      </c>
      <c r="D383" t="s">
        <v>11</v>
      </c>
      <c r="E383" t="s">
        <v>15</v>
      </c>
      <c r="F383">
        <v>87</v>
      </c>
      <c r="G383">
        <v>100</v>
      </c>
      <c r="H383">
        <v>95</v>
      </c>
    </row>
    <row r="384" spans="1:8" x14ac:dyDescent="0.25">
      <c r="A384" t="s">
        <v>17</v>
      </c>
      <c r="B384" t="s">
        <v>13</v>
      </c>
      <c r="C384" t="s">
        <v>16</v>
      </c>
      <c r="D384" t="s">
        <v>20</v>
      </c>
      <c r="E384" t="s">
        <v>12</v>
      </c>
      <c r="F384">
        <v>79</v>
      </c>
      <c r="G384">
        <v>81</v>
      </c>
      <c r="H384">
        <v>71</v>
      </c>
    </row>
    <row r="385" spans="1:8" x14ac:dyDescent="0.25">
      <c r="A385" t="s">
        <v>8</v>
      </c>
      <c r="B385" t="s">
        <v>24</v>
      </c>
      <c r="C385" t="s">
        <v>23</v>
      </c>
      <c r="D385" t="s">
        <v>20</v>
      </c>
      <c r="E385" t="s">
        <v>12</v>
      </c>
      <c r="F385">
        <v>38</v>
      </c>
      <c r="G385">
        <v>49</v>
      </c>
      <c r="H385">
        <v>45</v>
      </c>
    </row>
    <row r="386" spans="1:8" x14ac:dyDescent="0.25">
      <c r="A386" t="s">
        <v>8</v>
      </c>
      <c r="B386" t="s">
        <v>18</v>
      </c>
      <c r="C386" t="s">
        <v>23</v>
      </c>
      <c r="D386" t="s">
        <v>20</v>
      </c>
      <c r="E386" t="s">
        <v>12</v>
      </c>
      <c r="F386">
        <v>38</v>
      </c>
      <c r="G386">
        <v>43</v>
      </c>
      <c r="H386">
        <v>43</v>
      </c>
    </row>
    <row r="387" spans="1:8" x14ac:dyDescent="0.25">
      <c r="A387" t="s">
        <v>8</v>
      </c>
      <c r="B387" t="s">
        <v>24</v>
      </c>
      <c r="C387" t="s">
        <v>14</v>
      </c>
      <c r="D387" t="s">
        <v>11</v>
      </c>
      <c r="E387" t="s">
        <v>12</v>
      </c>
      <c r="F387">
        <v>67</v>
      </c>
      <c r="G387">
        <v>76</v>
      </c>
      <c r="H387">
        <v>75</v>
      </c>
    </row>
    <row r="388" spans="1:8" x14ac:dyDescent="0.25">
      <c r="A388" t="s">
        <v>8</v>
      </c>
      <c r="B388" t="s">
        <v>24</v>
      </c>
      <c r="C388" t="s">
        <v>10</v>
      </c>
      <c r="D388" t="s">
        <v>11</v>
      </c>
      <c r="E388" t="s">
        <v>12</v>
      </c>
      <c r="F388">
        <v>64</v>
      </c>
      <c r="G388">
        <v>73</v>
      </c>
      <c r="H388">
        <v>70</v>
      </c>
    </row>
    <row r="389" spans="1:8" x14ac:dyDescent="0.25">
      <c r="A389" t="s">
        <v>8</v>
      </c>
      <c r="B389" t="s">
        <v>13</v>
      </c>
      <c r="C389" t="s">
        <v>19</v>
      </c>
      <c r="D389" t="s">
        <v>20</v>
      </c>
      <c r="E389" t="s">
        <v>12</v>
      </c>
      <c r="F389">
        <v>57</v>
      </c>
      <c r="G389">
        <v>78</v>
      </c>
      <c r="H389">
        <v>67</v>
      </c>
    </row>
    <row r="390" spans="1:8" x14ac:dyDescent="0.25">
      <c r="A390" t="s">
        <v>8</v>
      </c>
      <c r="B390" t="s">
        <v>21</v>
      </c>
      <c r="C390" t="s">
        <v>22</v>
      </c>
      <c r="D390" t="s">
        <v>11</v>
      </c>
      <c r="E390" t="s">
        <v>12</v>
      </c>
      <c r="F390">
        <v>62</v>
      </c>
      <c r="G390">
        <v>64</v>
      </c>
      <c r="H390">
        <v>64</v>
      </c>
    </row>
    <row r="391" spans="1:8" x14ac:dyDescent="0.25">
      <c r="A391" t="s">
        <v>17</v>
      </c>
      <c r="B391" t="s">
        <v>21</v>
      </c>
      <c r="C391" t="s">
        <v>16</v>
      </c>
      <c r="D391" t="s">
        <v>11</v>
      </c>
      <c r="E391" t="s">
        <v>12</v>
      </c>
      <c r="F391">
        <v>73</v>
      </c>
      <c r="G391">
        <v>70</v>
      </c>
      <c r="H391">
        <v>75</v>
      </c>
    </row>
    <row r="392" spans="1:8" x14ac:dyDescent="0.25">
      <c r="A392" t="s">
        <v>17</v>
      </c>
      <c r="B392" t="s">
        <v>24</v>
      </c>
      <c r="C392" t="s">
        <v>23</v>
      </c>
      <c r="D392" t="s">
        <v>20</v>
      </c>
      <c r="E392" t="s">
        <v>15</v>
      </c>
      <c r="F392">
        <v>73</v>
      </c>
      <c r="G392">
        <v>67</v>
      </c>
      <c r="H392">
        <v>59</v>
      </c>
    </row>
    <row r="393" spans="1:8" x14ac:dyDescent="0.25">
      <c r="A393" t="s">
        <v>8</v>
      </c>
      <c r="B393" t="s">
        <v>21</v>
      </c>
      <c r="C393" t="s">
        <v>14</v>
      </c>
      <c r="D393" t="s">
        <v>11</v>
      </c>
      <c r="E393" t="s">
        <v>12</v>
      </c>
      <c r="F393">
        <v>77</v>
      </c>
      <c r="G393">
        <v>68</v>
      </c>
      <c r="H393">
        <v>77</v>
      </c>
    </row>
    <row r="394" spans="1:8" x14ac:dyDescent="0.25">
      <c r="A394" t="s">
        <v>17</v>
      </c>
      <c r="B394" t="s">
        <v>24</v>
      </c>
      <c r="C394" t="s">
        <v>14</v>
      </c>
      <c r="D394" t="s">
        <v>11</v>
      </c>
      <c r="E394" t="s">
        <v>12</v>
      </c>
      <c r="F394">
        <v>76</v>
      </c>
      <c r="G394">
        <v>67</v>
      </c>
      <c r="H394">
        <v>67</v>
      </c>
    </row>
    <row r="395" spans="1:8" x14ac:dyDescent="0.25">
      <c r="A395" t="s">
        <v>17</v>
      </c>
      <c r="B395" t="s">
        <v>13</v>
      </c>
      <c r="C395" t="s">
        <v>19</v>
      </c>
      <c r="D395" t="s">
        <v>11</v>
      </c>
      <c r="E395" t="s">
        <v>15</v>
      </c>
      <c r="F395">
        <v>57</v>
      </c>
      <c r="G395">
        <v>54</v>
      </c>
      <c r="H395">
        <v>56</v>
      </c>
    </row>
    <row r="396" spans="1:8" x14ac:dyDescent="0.25">
      <c r="A396" t="s">
        <v>8</v>
      </c>
      <c r="B396" t="s">
        <v>13</v>
      </c>
      <c r="C396" t="s">
        <v>23</v>
      </c>
      <c r="D396" t="s">
        <v>11</v>
      </c>
      <c r="E396" t="s">
        <v>15</v>
      </c>
      <c r="F396">
        <v>65</v>
      </c>
      <c r="G396">
        <v>74</v>
      </c>
      <c r="H396">
        <v>77</v>
      </c>
    </row>
    <row r="397" spans="1:8" x14ac:dyDescent="0.25">
      <c r="A397" t="s">
        <v>17</v>
      </c>
      <c r="B397" t="s">
        <v>18</v>
      </c>
      <c r="C397" t="s">
        <v>22</v>
      </c>
      <c r="D397" t="s">
        <v>20</v>
      </c>
      <c r="E397" t="s">
        <v>12</v>
      </c>
      <c r="F397">
        <v>48</v>
      </c>
      <c r="G397">
        <v>45</v>
      </c>
      <c r="H397">
        <v>41</v>
      </c>
    </row>
    <row r="398" spans="1:8" x14ac:dyDescent="0.25">
      <c r="A398" t="s">
        <v>8</v>
      </c>
      <c r="B398" t="s">
        <v>9</v>
      </c>
      <c r="C398" t="s">
        <v>22</v>
      </c>
      <c r="D398" t="s">
        <v>20</v>
      </c>
      <c r="E398" t="s">
        <v>12</v>
      </c>
      <c r="F398">
        <v>50</v>
      </c>
      <c r="G398">
        <v>67</v>
      </c>
      <c r="H398">
        <v>63</v>
      </c>
    </row>
    <row r="399" spans="1:8" x14ac:dyDescent="0.25">
      <c r="A399" t="s">
        <v>8</v>
      </c>
      <c r="B399" t="s">
        <v>13</v>
      </c>
      <c r="C399" t="s">
        <v>19</v>
      </c>
      <c r="D399" t="s">
        <v>11</v>
      </c>
      <c r="E399" t="s">
        <v>12</v>
      </c>
      <c r="F399">
        <v>85</v>
      </c>
      <c r="G399">
        <v>89</v>
      </c>
      <c r="H399">
        <v>95</v>
      </c>
    </row>
    <row r="400" spans="1:8" x14ac:dyDescent="0.25">
      <c r="A400" t="s">
        <v>17</v>
      </c>
      <c r="B400" t="s">
        <v>9</v>
      </c>
      <c r="C400" t="s">
        <v>23</v>
      </c>
      <c r="D400" t="s">
        <v>11</v>
      </c>
      <c r="E400" t="s">
        <v>12</v>
      </c>
      <c r="F400">
        <v>74</v>
      </c>
      <c r="G400">
        <v>63</v>
      </c>
      <c r="H400">
        <v>57</v>
      </c>
    </row>
    <row r="401" spans="1:8" x14ac:dyDescent="0.25">
      <c r="A401" t="s">
        <v>17</v>
      </c>
      <c r="B401" t="s">
        <v>21</v>
      </c>
      <c r="C401" t="s">
        <v>23</v>
      </c>
      <c r="D401" t="s">
        <v>11</v>
      </c>
      <c r="E401" t="s">
        <v>12</v>
      </c>
      <c r="F401">
        <v>60</v>
      </c>
      <c r="G401">
        <v>59</v>
      </c>
      <c r="H401">
        <v>54</v>
      </c>
    </row>
    <row r="402" spans="1:8" x14ac:dyDescent="0.25">
      <c r="A402" t="s">
        <v>8</v>
      </c>
      <c r="B402" t="s">
        <v>13</v>
      </c>
      <c r="C402" t="s">
        <v>23</v>
      </c>
      <c r="D402" t="s">
        <v>11</v>
      </c>
      <c r="E402" t="s">
        <v>15</v>
      </c>
      <c r="F402">
        <v>59</v>
      </c>
      <c r="G402">
        <v>54</v>
      </c>
      <c r="H402">
        <v>67</v>
      </c>
    </row>
    <row r="403" spans="1:8" x14ac:dyDescent="0.25">
      <c r="A403" t="s">
        <v>17</v>
      </c>
      <c r="B403" t="s">
        <v>18</v>
      </c>
      <c r="C403" t="s">
        <v>14</v>
      </c>
      <c r="D403" t="s">
        <v>11</v>
      </c>
      <c r="E403" t="s">
        <v>12</v>
      </c>
      <c r="F403">
        <v>53</v>
      </c>
      <c r="G403">
        <v>43</v>
      </c>
      <c r="H403">
        <v>43</v>
      </c>
    </row>
    <row r="404" spans="1:8" x14ac:dyDescent="0.25">
      <c r="A404" t="s">
        <v>8</v>
      </c>
      <c r="B404" t="s">
        <v>18</v>
      </c>
      <c r="C404" t="s">
        <v>14</v>
      </c>
      <c r="D404" t="s">
        <v>20</v>
      </c>
      <c r="E404" t="s">
        <v>12</v>
      </c>
      <c r="F404">
        <v>49</v>
      </c>
      <c r="G404">
        <v>65</v>
      </c>
      <c r="H404">
        <v>55</v>
      </c>
    </row>
    <row r="405" spans="1:8" x14ac:dyDescent="0.25">
      <c r="A405" t="s">
        <v>8</v>
      </c>
      <c r="B405" t="s">
        <v>21</v>
      </c>
      <c r="C405" t="s">
        <v>22</v>
      </c>
      <c r="D405" t="s">
        <v>11</v>
      </c>
      <c r="E405" t="s">
        <v>15</v>
      </c>
      <c r="F405">
        <v>88</v>
      </c>
      <c r="G405">
        <v>99</v>
      </c>
      <c r="H405">
        <v>100</v>
      </c>
    </row>
    <row r="406" spans="1:8" x14ac:dyDescent="0.25">
      <c r="A406" t="s">
        <v>8</v>
      </c>
      <c r="B406" t="s">
        <v>13</v>
      </c>
      <c r="C406" t="s">
        <v>22</v>
      </c>
      <c r="D406" t="s">
        <v>11</v>
      </c>
      <c r="E406" t="s">
        <v>12</v>
      </c>
      <c r="F406">
        <v>54</v>
      </c>
      <c r="G406">
        <v>59</v>
      </c>
      <c r="H406">
        <v>62</v>
      </c>
    </row>
    <row r="407" spans="1:8" x14ac:dyDescent="0.25">
      <c r="A407" t="s">
        <v>8</v>
      </c>
      <c r="B407" t="s">
        <v>13</v>
      </c>
      <c r="C407" t="s">
        <v>23</v>
      </c>
      <c r="D407" t="s">
        <v>11</v>
      </c>
      <c r="E407" t="s">
        <v>12</v>
      </c>
      <c r="F407">
        <v>63</v>
      </c>
      <c r="G407">
        <v>73</v>
      </c>
      <c r="H407">
        <v>68</v>
      </c>
    </row>
    <row r="408" spans="1:8" x14ac:dyDescent="0.25">
      <c r="A408" t="s">
        <v>17</v>
      </c>
      <c r="B408" t="s">
        <v>9</v>
      </c>
      <c r="C408" t="s">
        <v>19</v>
      </c>
      <c r="D408" t="s">
        <v>11</v>
      </c>
      <c r="E408" t="s">
        <v>15</v>
      </c>
      <c r="F408">
        <v>65</v>
      </c>
      <c r="G408">
        <v>65</v>
      </c>
      <c r="H408">
        <v>63</v>
      </c>
    </row>
    <row r="409" spans="1:8" x14ac:dyDescent="0.25">
      <c r="A409" t="s">
        <v>8</v>
      </c>
      <c r="B409" t="s">
        <v>9</v>
      </c>
      <c r="C409" t="s">
        <v>19</v>
      </c>
      <c r="D409" t="s">
        <v>11</v>
      </c>
      <c r="E409" t="s">
        <v>12</v>
      </c>
      <c r="F409">
        <v>82</v>
      </c>
      <c r="G409">
        <v>80</v>
      </c>
      <c r="H409">
        <v>77</v>
      </c>
    </row>
    <row r="410" spans="1:8" x14ac:dyDescent="0.25">
      <c r="A410" t="s">
        <v>8</v>
      </c>
      <c r="B410" t="s">
        <v>21</v>
      </c>
      <c r="C410" t="s">
        <v>22</v>
      </c>
      <c r="D410" t="s">
        <v>20</v>
      </c>
      <c r="E410" t="s">
        <v>15</v>
      </c>
      <c r="F410">
        <v>52</v>
      </c>
      <c r="G410">
        <v>57</v>
      </c>
      <c r="H410">
        <v>56</v>
      </c>
    </row>
    <row r="411" spans="1:8" x14ac:dyDescent="0.25">
      <c r="A411" t="s">
        <v>17</v>
      </c>
      <c r="B411" t="s">
        <v>21</v>
      </c>
      <c r="C411" t="s">
        <v>19</v>
      </c>
      <c r="D411" t="s">
        <v>11</v>
      </c>
      <c r="E411" t="s">
        <v>15</v>
      </c>
      <c r="F411">
        <v>87</v>
      </c>
      <c r="G411">
        <v>84</v>
      </c>
      <c r="H411">
        <v>85</v>
      </c>
    </row>
    <row r="412" spans="1:8" x14ac:dyDescent="0.25">
      <c r="A412" t="s">
        <v>8</v>
      </c>
      <c r="B412" t="s">
        <v>21</v>
      </c>
      <c r="C412" t="s">
        <v>16</v>
      </c>
      <c r="D412" t="s">
        <v>11</v>
      </c>
      <c r="E412" t="s">
        <v>15</v>
      </c>
      <c r="F412">
        <v>70</v>
      </c>
      <c r="G412">
        <v>71</v>
      </c>
      <c r="H412">
        <v>74</v>
      </c>
    </row>
    <row r="413" spans="1:8" x14ac:dyDescent="0.25">
      <c r="A413" t="s">
        <v>17</v>
      </c>
      <c r="B413" t="s">
        <v>24</v>
      </c>
      <c r="C413" t="s">
        <v>14</v>
      </c>
      <c r="D413" t="s">
        <v>11</v>
      </c>
      <c r="E413" t="s">
        <v>15</v>
      </c>
      <c r="F413">
        <v>84</v>
      </c>
      <c r="G413">
        <v>83</v>
      </c>
      <c r="H413">
        <v>78</v>
      </c>
    </row>
    <row r="414" spans="1:8" x14ac:dyDescent="0.25">
      <c r="A414" t="s">
        <v>17</v>
      </c>
      <c r="B414" t="s">
        <v>21</v>
      </c>
      <c r="C414" t="s">
        <v>19</v>
      </c>
      <c r="D414" t="s">
        <v>11</v>
      </c>
      <c r="E414" t="s">
        <v>12</v>
      </c>
      <c r="F414">
        <v>71</v>
      </c>
      <c r="G414">
        <v>66</v>
      </c>
      <c r="H414">
        <v>60</v>
      </c>
    </row>
    <row r="415" spans="1:8" x14ac:dyDescent="0.25">
      <c r="A415" t="s">
        <v>17</v>
      </c>
      <c r="B415" t="s">
        <v>9</v>
      </c>
      <c r="C415" t="s">
        <v>23</v>
      </c>
      <c r="D415" t="s">
        <v>11</v>
      </c>
      <c r="E415" t="s">
        <v>15</v>
      </c>
      <c r="F415">
        <v>63</v>
      </c>
      <c r="G415">
        <v>67</v>
      </c>
      <c r="H415">
        <v>67</v>
      </c>
    </row>
    <row r="416" spans="1:8" x14ac:dyDescent="0.25">
      <c r="A416" t="s">
        <v>8</v>
      </c>
      <c r="B416" t="s">
        <v>13</v>
      </c>
      <c r="C416" t="s">
        <v>10</v>
      </c>
      <c r="D416" t="s">
        <v>20</v>
      </c>
      <c r="E416" t="s">
        <v>15</v>
      </c>
      <c r="F416">
        <v>51</v>
      </c>
      <c r="G416">
        <v>72</v>
      </c>
      <c r="H416">
        <v>79</v>
      </c>
    </row>
    <row r="417" spans="1:8" x14ac:dyDescent="0.25">
      <c r="A417" t="s">
        <v>17</v>
      </c>
      <c r="B417" t="s">
        <v>24</v>
      </c>
      <c r="C417" t="s">
        <v>22</v>
      </c>
      <c r="D417" t="s">
        <v>11</v>
      </c>
      <c r="E417" t="s">
        <v>12</v>
      </c>
      <c r="F417">
        <v>84</v>
      </c>
      <c r="G417">
        <v>73</v>
      </c>
      <c r="H417">
        <v>69</v>
      </c>
    </row>
    <row r="418" spans="1:8" x14ac:dyDescent="0.25">
      <c r="A418" t="s">
        <v>17</v>
      </c>
      <c r="B418" t="s">
        <v>13</v>
      </c>
      <c r="C418" t="s">
        <v>10</v>
      </c>
      <c r="D418" t="s">
        <v>11</v>
      </c>
      <c r="E418" t="s">
        <v>15</v>
      </c>
      <c r="F418">
        <v>71</v>
      </c>
      <c r="G418">
        <v>74</v>
      </c>
      <c r="H418">
        <v>68</v>
      </c>
    </row>
    <row r="419" spans="1:8" x14ac:dyDescent="0.25">
      <c r="A419" t="s">
        <v>17</v>
      </c>
      <c r="B419" t="s">
        <v>13</v>
      </c>
      <c r="C419" t="s">
        <v>19</v>
      </c>
      <c r="D419" t="s">
        <v>11</v>
      </c>
      <c r="E419" t="s">
        <v>12</v>
      </c>
      <c r="F419">
        <v>74</v>
      </c>
      <c r="G419">
        <v>73</v>
      </c>
      <c r="H419">
        <v>67</v>
      </c>
    </row>
    <row r="420" spans="1:8" x14ac:dyDescent="0.25">
      <c r="A420" t="s">
        <v>17</v>
      </c>
      <c r="B420" t="s">
        <v>21</v>
      </c>
      <c r="C420" t="s">
        <v>14</v>
      </c>
      <c r="D420" t="s">
        <v>11</v>
      </c>
      <c r="E420" t="s">
        <v>12</v>
      </c>
      <c r="F420">
        <v>68</v>
      </c>
      <c r="G420">
        <v>59</v>
      </c>
      <c r="H420">
        <v>62</v>
      </c>
    </row>
    <row r="421" spans="1:8" x14ac:dyDescent="0.25">
      <c r="A421" t="s">
        <v>17</v>
      </c>
      <c r="B421" t="s">
        <v>24</v>
      </c>
      <c r="C421" t="s">
        <v>22</v>
      </c>
      <c r="D421" t="s">
        <v>20</v>
      </c>
      <c r="E421" t="s">
        <v>15</v>
      </c>
      <c r="F421">
        <v>57</v>
      </c>
      <c r="G421">
        <v>56</v>
      </c>
      <c r="H421">
        <v>54</v>
      </c>
    </row>
    <row r="422" spans="1:8" x14ac:dyDescent="0.25">
      <c r="A422" t="s">
        <v>8</v>
      </c>
      <c r="B422" t="s">
        <v>13</v>
      </c>
      <c r="C422" t="s">
        <v>19</v>
      </c>
      <c r="D422" t="s">
        <v>20</v>
      </c>
      <c r="E422" t="s">
        <v>15</v>
      </c>
      <c r="F422">
        <v>82</v>
      </c>
      <c r="G422">
        <v>93</v>
      </c>
      <c r="H422">
        <v>93</v>
      </c>
    </row>
    <row r="423" spans="1:8" x14ac:dyDescent="0.25">
      <c r="A423" t="s">
        <v>8</v>
      </c>
      <c r="B423" t="s">
        <v>21</v>
      </c>
      <c r="C423" t="s">
        <v>22</v>
      </c>
      <c r="D423" t="s">
        <v>11</v>
      </c>
      <c r="E423" t="s">
        <v>15</v>
      </c>
      <c r="F423">
        <v>57</v>
      </c>
      <c r="G423">
        <v>58</v>
      </c>
      <c r="H423">
        <v>64</v>
      </c>
    </row>
    <row r="424" spans="1:8" x14ac:dyDescent="0.25">
      <c r="A424" t="s">
        <v>8</v>
      </c>
      <c r="B424" t="s">
        <v>21</v>
      </c>
      <c r="C424" t="s">
        <v>16</v>
      </c>
      <c r="D424" t="s">
        <v>20</v>
      </c>
      <c r="E424" t="s">
        <v>15</v>
      </c>
      <c r="F424">
        <v>47</v>
      </c>
      <c r="G424">
        <v>58</v>
      </c>
      <c r="H424">
        <v>67</v>
      </c>
    </row>
    <row r="425" spans="1:8" x14ac:dyDescent="0.25">
      <c r="A425" t="s">
        <v>8</v>
      </c>
      <c r="B425" t="s">
        <v>18</v>
      </c>
      <c r="C425" t="s">
        <v>23</v>
      </c>
      <c r="D425" t="s">
        <v>11</v>
      </c>
      <c r="E425" t="s">
        <v>15</v>
      </c>
      <c r="F425">
        <v>59</v>
      </c>
      <c r="G425">
        <v>85</v>
      </c>
      <c r="H425">
        <v>80</v>
      </c>
    </row>
    <row r="426" spans="1:8" x14ac:dyDescent="0.25">
      <c r="A426" t="s">
        <v>17</v>
      </c>
      <c r="B426" t="s">
        <v>9</v>
      </c>
      <c r="C426" t="s">
        <v>14</v>
      </c>
      <c r="D426" t="s">
        <v>20</v>
      </c>
      <c r="E426" t="s">
        <v>12</v>
      </c>
      <c r="F426">
        <v>41</v>
      </c>
      <c r="G426">
        <v>39</v>
      </c>
      <c r="H426">
        <v>34</v>
      </c>
    </row>
    <row r="427" spans="1:8" x14ac:dyDescent="0.25">
      <c r="A427" t="s">
        <v>8</v>
      </c>
      <c r="B427" t="s">
        <v>13</v>
      </c>
      <c r="C427" t="s">
        <v>14</v>
      </c>
      <c r="D427" t="s">
        <v>20</v>
      </c>
      <c r="E427" t="s">
        <v>12</v>
      </c>
      <c r="F427">
        <v>62</v>
      </c>
      <c r="G427">
        <v>67</v>
      </c>
      <c r="H427">
        <v>62</v>
      </c>
    </row>
    <row r="428" spans="1:8" x14ac:dyDescent="0.25">
      <c r="A428" t="s">
        <v>17</v>
      </c>
      <c r="B428" t="s">
        <v>13</v>
      </c>
      <c r="C428" t="s">
        <v>10</v>
      </c>
      <c r="D428" t="s">
        <v>11</v>
      </c>
      <c r="E428" t="s">
        <v>12</v>
      </c>
      <c r="F428">
        <v>86</v>
      </c>
      <c r="G428">
        <v>83</v>
      </c>
      <c r="H428">
        <v>86</v>
      </c>
    </row>
    <row r="429" spans="1:8" x14ac:dyDescent="0.25">
      <c r="A429" t="s">
        <v>17</v>
      </c>
      <c r="B429" t="s">
        <v>13</v>
      </c>
      <c r="C429" t="s">
        <v>23</v>
      </c>
      <c r="D429" t="s">
        <v>20</v>
      </c>
      <c r="E429" t="s">
        <v>12</v>
      </c>
      <c r="F429">
        <v>69</v>
      </c>
      <c r="G429">
        <v>71</v>
      </c>
      <c r="H429">
        <v>65</v>
      </c>
    </row>
    <row r="430" spans="1:8" x14ac:dyDescent="0.25">
      <c r="A430" t="s">
        <v>17</v>
      </c>
      <c r="B430" t="s">
        <v>18</v>
      </c>
      <c r="C430" t="s">
        <v>23</v>
      </c>
      <c r="D430" t="s">
        <v>20</v>
      </c>
      <c r="E430" t="s">
        <v>12</v>
      </c>
      <c r="F430">
        <v>65</v>
      </c>
      <c r="G430">
        <v>59</v>
      </c>
      <c r="H430">
        <v>53</v>
      </c>
    </row>
    <row r="431" spans="1:8" x14ac:dyDescent="0.25">
      <c r="A431" t="s">
        <v>17</v>
      </c>
      <c r="B431" t="s">
        <v>13</v>
      </c>
      <c r="C431" t="s">
        <v>23</v>
      </c>
      <c r="D431" t="s">
        <v>20</v>
      </c>
      <c r="E431" t="s">
        <v>12</v>
      </c>
      <c r="F431">
        <v>68</v>
      </c>
      <c r="G431">
        <v>63</v>
      </c>
      <c r="H431">
        <v>54</v>
      </c>
    </row>
    <row r="432" spans="1:8" x14ac:dyDescent="0.25">
      <c r="A432" t="s">
        <v>17</v>
      </c>
      <c r="B432" t="s">
        <v>13</v>
      </c>
      <c r="C432" t="s">
        <v>19</v>
      </c>
      <c r="D432" t="s">
        <v>20</v>
      </c>
      <c r="E432" t="s">
        <v>12</v>
      </c>
      <c r="F432">
        <v>64</v>
      </c>
      <c r="G432">
        <v>66</v>
      </c>
      <c r="H432">
        <v>59</v>
      </c>
    </row>
    <row r="433" spans="1:8" x14ac:dyDescent="0.25">
      <c r="A433" t="s">
        <v>8</v>
      </c>
      <c r="B433" t="s">
        <v>13</v>
      </c>
      <c r="C433" t="s">
        <v>22</v>
      </c>
      <c r="D433" t="s">
        <v>11</v>
      </c>
      <c r="E433" t="s">
        <v>12</v>
      </c>
      <c r="F433">
        <v>61</v>
      </c>
      <c r="G433">
        <v>72</v>
      </c>
      <c r="H433">
        <v>70</v>
      </c>
    </row>
    <row r="434" spans="1:8" x14ac:dyDescent="0.25">
      <c r="A434" t="s">
        <v>17</v>
      </c>
      <c r="B434" t="s">
        <v>13</v>
      </c>
      <c r="C434" t="s">
        <v>22</v>
      </c>
      <c r="D434" t="s">
        <v>11</v>
      </c>
      <c r="E434" t="s">
        <v>12</v>
      </c>
      <c r="F434">
        <v>61</v>
      </c>
      <c r="G434">
        <v>56</v>
      </c>
      <c r="H434">
        <v>55</v>
      </c>
    </row>
    <row r="435" spans="1:8" x14ac:dyDescent="0.25">
      <c r="A435" t="s">
        <v>8</v>
      </c>
      <c r="B435" t="s">
        <v>18</v>
      </c>
      <c r="C435" t="s">
        <v>23</v>
      </c>
      <c r="D435" t="s">
        <v>20</v>
      </c>
      <c r="E435" t="s">
        <v>12</v>
      </c>
      <c r="F435">
        <v>47</v>
      </c>
      <c r="G435">
        <v>59</v>
      </c>
      <c r="H435">
        <v>50</v>
      </c>
    </row>
    <row r="436" spans="1:8" x14ac:dyDescent="0.25">
      <c r="A436" t="s">
        <v>17</v>
      </c>
      <c r="B436" t="s">
        <v>13</v>
      </c>
      <c r="C436" t="s">
        <v>23</v>
      </c>
      <c r="D436" t="s">
        <v>11</v>
      </c>
      <c r="E436" t="s">
        <v>12</v>
      </c>
      <c r="F436">
        <v>73</v>
      </c>
      <c r="G436">
        <v>66</v>
      </c>
      <c r="H436">
        <v>66</v>
      </c>
    </row>
    <row r="437" spans="1:8" x14ac:dyDescent="0.25">
      <c r="A437" t="s">
        <v>17</v>
      </c>
      <c r="B437" t="s">
        <v>13</v>
      </c>
      <c r="C437" t="s">
        <v>14</v>
      </c>
      <c r="D437" t="s">
        <v>20</v>
      </c>
      <c r="E437" t="s">
        <v>15</v>
      </c>
      <c r="F437">
        <v>50</v>
      </c>
      <c r="G437">
        <v>48</v>
      </c>
      <c r="H437">
        <v>53</v>
      </c>
    </row>
    <row r="438" spans="1:8" x14ac:dyDescent="0.25">
      <c r="A438" t="s">
        <v>17</v>
      </c>
      <c r="B438" t="s">
        <v>21</v>
      </c>
      <c r="C438" t="s">
        <v>19</v>
      </c>
      <c r="D438" t="s">
        <v>11</v>
      </c>
      <c r="E438" t="s">
        <v>12</v>
      </c>
      <c r="F438">
        <v>75</v>
      </c>
      <c r="G438">
        <v>68</v>
      </c>
      <c r="H438">
        <v>64</v>
      </c>
    </row>
    <row r="439" spans="1:8" x14ac:dyDescent="0.25">
      <c r="A439" t="s">
        <v>17</v>
      </c>
      <c r="B439" t="s">
        <v>21</v>
      </c>
      <c r="C439" t="s">
        <v>19</v>
      </c>
      <c r="D439" t="s">
        <v>20</v>
      </c>
      <c r="E439" t="s">
        <v>12</v>
      </c>
      <c r="F439">
        <v>75</v>
      </c>
      <c r="G439">
        <v>66</v>
      </c>
      <c r="H439">
        <v>73</v>
      </c>
    </row>
    <row r="440" spans="1:8" x14ac:dyDescent="0.25">
      <c r="A440" t="s">
        <v>17</v>
      </c>
      <c r="B440" t="s">
        <v>13</v>
      </c>
      <c r="C440" t="s">
        <v>22</v>
      </c>
      <c r="D440" t="s">
        <v>11</v>
      </c>
      <c r="E440" t="s">
        <v>12</v>
      </c>
      <c r="F440">
        <v>70</v>
      </c>
      <c r="G440">
        <v>56</v>
      </c>
      <c r="H440">
        <v>51</v>
      </c>
    </row>
    <row r="441" spans="1:8" x14ac:dyDescent="0.25">
      <c r="A441" t="s">
        <v>17</v>
      </c>
      <c r="B441" t="s">
        <v>21</v>
      </c>
      <c r="C441" t="s">
        <v>23</v>
      </c>
      <c r="D441" t="s">
        <v>11</v>
      </c>
      <c r="E441" t="s">
        <v>15</v>
      </c>
      <c r="F441">
        <v>89</v>
      </c>
      <c r="G441">
        <v>88</v>
      </c>
      <c r="H441">
        <v>82</v>
      </c>
    </row>
    <row r="442" spans="1:8" x14ac:dyDescent="0.25">
      <c r="A442" t="s">
        <v>8</v>
      </c>
      <c r="B442" t="s">
        <v>13</v>
      </c>
      <c r="C442" t="s">
        <v>14</v>
      </c>
      <c r="D442" t="s">
        <v>11</v>
      </c>
      <c r="E442" t="s">
        <v>15</v>
      </c>
      <c r="F442">
        <v>67</v>
      </c>
      <c r="G442">
        <v>81</v>
      </c>
      <c r="H442">
        <v>79</v>
      </c>
    </row>
    <row r="443" spans="1:8" x14ac:dyDescent="0.25">
      <c r="A443" t="s">
        <v>8</v>
      </c>
      <c r="B443" t="s">
        <v>21</v>
      </c>
      <c r="C443" t="s">
        <v>22</v>
      </c>
      <c r="D443" t="s">
        <v>11</v>
      </c>
      <c r="E443" t="s">
        <v>12</v>
      </c>
      <c r="F443">
        <v>78</v>
      </c>
      <c r="G443">
        <v>81</v>
      </c>
      <c r="H443">
        <v>80</v>
      </c>
    </row>
    <row r="444" spans="1:8" x14ac:dyDescent="0.25">
      <c r="A444" t="s">
        <v>8</v>
      </c>
      <c r="B444" t="s">
        <v>18</v>
      </c>
      <c r="C444" t="s">
        <v>23</v>
      </c>
      <c r="D444" t="s">
        <v>20</v>
      </c>
      <c r="E444" t="s">
        <v>12</v>
      </c>
      <c r="F444">
        <v>59</v>
      </c>
      <c r="G444">
        <v>73</v>
      </c>
      <c r="H444">
        <v>69</v>
      </c>
    </row>
    <row r="445" spans="1:8" x14ac:dyDescent="0.25">
      <c r="A445" t="s">
        <v>8</v>
      </c>
      <c r="B445" t="s">
        <v>9</v>
      </c>
      <c r="C445" t="s">
        <v>19</v>
      </c>
      <c r="D445" t="s">
        <v>11</v>
      </c>
      <c r="E445" t="s">
        <v>12</v>
      </c>
      <c r="F445">
        <v>73</v>
      </c>
      <c r="G445">
        <v>83</v>
      </c>
      <c r="H445">
        <v>76</v>
      </c>
    </row>
    <row r="446" spans="1:8" x14ac:dyDescent="0.25">
      <c r="A446" t="s">
        <v>17</v>
      </c>
      <c r="B446" t="s">
        <v>18</v>
      </c>
      <c r="C446" t="s">
        <v>23</v>
      </c>
      <c r="D446" t="s">
        <v>20</v>
      </c>
      <c r="E446" t="s">
        <v>12</v>
      </c>
      <c r="F446">
        <v>79</v>
      </c>
      <c r="G446">
        <v>82</v>
      </c>
      <c r="H446">
        <v>73</v>
      </c>
    </row>
    <row r="447" spans="1:8" x14ac:dyDescent="0.25">
      <c r="A447" t="s">
        <v>8</v>
      </c>
      <c r="B447" t="s">
        <v>13</v>
      </c>
      <c r="C447" t="s">
        <v>23</v>
      </c>
      <c r="D447" t="s">
        <v>11</v>
      </c>
      <c r="E447" t="s">
        <v>15</v>
      </c>
      <c r="F447">
        <v>67</v>
      </c>
      <c r="G447">
        <v>74</v>
      </c>
      <c r="H447">
        <v>77</v>
      </c>
    </row>
    <row r="448" spans="1:8" x14ac:dyDescent="0.25">
      <c r="A448" t="s">
        <v>17</v>
      </c>
      <c r="B448" t="s">
        <v>21</v>
      </c>
      <c r="C448" t="s">
        <v>14</v>
      </c>
      <c r="D448" t="s">
        <v>20</v>
      </c>
      <c r="E448" t="s">
        <v>12</v>
      </c>
      <c r="F448">
        <v>69</v>
      </c>
      <c r="G448">
        <v>66</v>
      </c>
      <c r="H448">
        <v>60</v>
      </c>
    </row>
    <row r="449" spans="1:8" x14ac:dyDescent="0.25">
      <c r="A449" t="s">
        <v>17</v>
      </c>
      <c r="B449" t="s">
        <v>13</v>
      </c>
      <c r="C449" t="s">
        <v>22</v>
      </c>
      <c r="D449" t="s">
        <v>11</v>
      </c>
      <c r="E449" t="s">
        <v>15</v>
      </c>
      <c r="F449">
        <v>86</v>
      </c>
      <c r="G449">
        <v>81</v>
      </c>
      <c r="H449">
        <v>80</v>
      </c>
    </row>
    <row r="450" spans="1:8" x14ac:dyDescent="0.25">
      <c r="A450" t="s">
        <v>17</v>
      </c>
      <c r="B450" t="s">
        <v>9</v>
      </c>
      <c r="C450" t="s">
        <v>22</v>
      </c>
      <c r="D450" t="s">
        <v>11</v>
      </c>
      <c r="E450" t="s">
        <v>12</v>
      </c>
      <c r="F450">
        <v>47</v>
      </c>
      <c r="G450">
        <v>46</v>
      </c>
      <c r="H450">
        <v>42</v>
      </c>
    </row>
    <row r="451" spans="1:8" x14ac:dyDescent="0.25">
      <c r="A451" t="s">
        <v>17</v>
      </c>
      <c r="B451" t="s">
        <v>9</v>
      </c>
      <c r="C451" t="s">
        <v>19</v>
      </c>
      <c r="D451" t="s">
        <v>11</v>
      </c>
      <c r="E451" t="s">
        <v>12</v>
      </c>
      <c r="F451">
        <v>81</v>
      </c>
      <c r="G451">
        <v>73</v>
      </c>
      <c r="H451">
        <v>72</v>
      </c>
    </row>
    <row r="452" spans="1:8" x14ac:dyDescent="0.25">
      <c r="A452" t="s">
        <v>8</v>
      </c>
      <c r="B452" t="s">
        <v>13</v>
      </c>
      <c r="C452" t="s">
        <v>14</v>
      </c>
      <c r="D452" t="s">
        <v>20</v>
      </c>
      <c r="E452" t="s">
        <v>15</v>
      </c>
      <c r="F452">
        <v>64</v>
      </c>
      <c r="G452">
        <v>85</v>
      </c>
      <c r="H452">
        <v>85</v>
      </c>
    </row>
    <row r="453" spans="1:8" x14ac:dyDescent="0.25">
      <c r="A453" t="s">
        <v>8</v>
      </c>
      <c r="B453" t="s">
        <v>24</v>
      </c>
      <c r="C453" t="s">
        <v>14</v>
      </c>
      <c r="D453" t="s">
        <v>11</v>
      </c>
      <c r="E453" t="s">
        <v>12</v>
      </c>
      <c r="F453">
        <v>100</v>
      </c>
      <c r="G453">
        <v>92</v>
      </c>
      <c r="H453">
        <v>97</v>
      </c>
    </row>
    <row r="454" spans="1:8" x14ac:dyDescent="0.25">
      <c r="A454" t="s">
        <v>8</v>
      </c>
      <c r="B454" t="s">
        <v>13</v>
      </c>
      <c r="C454" t="s">
        <v>19</v>
      </c>
      <c r="D454" t="s">
        <v>20</v>
      </c>
      <c r="E454" t="s">
        <v>12</v>
      </c>
      <c r="F454">
        <v>65</v>
      </c>
      <c r="G454">
        <v>77</v>
      </c>
      <c r="H454">
        <v>74</v>
      </c>
    </row>
    <row r="455" spans="1:8" x14ac:dyDescent="0.25">
      <c r="A455" t="s">
        <v>17</v>
      </c>
      <c r="B455" t="s">
        <v>13</v>
      </c>
      <c r="C455" t="s">
        <v>14</v>
      </c>
      <c r="D455" t="s">
        <v>20</v>
      </c>
      <c r="E455" t="s">
        <v>12</v>
      </c>
      <c r="F455">
        <v>65</v>
      </c>
      <c r="G455">
        <v>58</v>
      </c>
      <c r="H455">
        <v>49</v>
      </c>
    </row>
    <row r="456" spans="1:8" x14ac:dyDescent="0.25">
      <c r="A456" t="s">
        <v>8</v>
      </c>
      <c r="B456" t="s">
        <v>13</v>
      </c>
      <c r="C456" t="s">
        <v>19</v>
      </c>
      <c r="D456" t="s">
        <v>20</v>
      </c>
      <c r="E456" t="s">
        <v>12</v>
      </c>
      <c r="F456">
        <v>53</v>
      </c>
      <c r="G456">
        <v>61</v>
      </c>
      <c r="H456">
        <v>62</v>
      </c>
    </row>
    <row r="457" spans="1:8" x14ac:dyDescent="0.25">
      <c r="A457" t="s">
        <v>17</v>
      </c>
      <c r="B457" t="s">
        <v>13</v>
      </c>
      <c r="C457" t="s">
        <v>10</v>
      </c>
      <c r="D457" t="s">
        <v>20</v>
      </c>
      <c r="E457" t="s">
        <v>12</v>
      </c>
      <c r="F457">
        <v>37</v>
      </c>
      <c r="G457">
        <v>56</v>
      </c>
      <c r="H457">
        <v>47</v>
      </c>
    </row>
    <row r="458" spans="1:8" x14ac:dyDescent="0.25">
      <c r="A458" t="s">
        <v>8</v>
      </c>
      <c r="B458" t="s">
        <v>21</v>
      </c>
      <c r="C458" t="s">
        <v>10</v>
      </c>
      <c r="D458" t="s">
        <v>11</v>
      </c>
      <c r="E458" t="s">
        <v>12</v>
      </c>
      <c r="F458">
        <v>79</v>
      </c>
      <c r="G458">
        <v>89</v>
      </c>
      <c r="H458">
        <v>89</v>
      </c>
    </row>
    <row r="459" spans="1:8" x14ac:dyDescent="0.25">
      <c r="A459" t="s">
        <v>17</v>
      </c>
      <c r="B459" t="s">
        <v>21</v>
      </c>
      <c r="C459" t="s">
        <v>19</v>
      </c>
      <c r="D459" t="s">
        <v>20</v>
      </c>
      <c r="E459" t="s">
        <v>12</v>
      </c>
      <c r="F459">
        <v>53</v>
      </c>
      <c r="G459">
        <v>54</v>
      </c>
      <c r="H459">
        <v>48</v>
      </c>
    </row>
    <row r="460" spans="1:8" x14ac:dyDescent="0.25">
      <c r="A460" t="s">
        <v>8</v>
      </c>
      <c r="B460" t="s">
        <v>24</v>
      </c>
      <c r="C460" t="s">
        <v>10</v>
      </c>
      <c r="D460" t="s">
        <v>11</v>
      </c>
      <c r="E460" t="s">
        <v>12</v>
      </c>
      <c r="F460">
        <v>100</v>
      </c>
      <c r="G460">
        <v>100</v>
      </c>
      <c r="H460">
        <v>100</v>
      </c>
    </row>
    <row r="461" spans="1:8" x14ac:dyDescent="0.25">
      <c r="A461" t="s">
        <v>17</v>
      </c>
      <c r="B461" t="s">
        <v>9</v>
      </c>
      <c r="C461" t="s">
        <v>22</v>
      </c>
      <c r="D461" t="s">
        <v>11</v>
      </c>
      <c r="E461" t="s">
        <v>15</v>
      </c>
      <c r="F461">
        <v>72</v>
      </c>
      <c r="G461">
        <v>65</v>
      </c>
      <c r="H461">
        <v>68</v>
      </c>
    </row>
    <row r="462" spans="1:8" x14ac:dyDescent="0.25">
      <c r="A462" t="s">
        <v>17</v>
      </c>
      <c r="B462" t="s">
        <v>13</v>
      </c>
      <c r="C462" t="s">
        <v>10</v>
      </c>
      <c r="D462" t="s">
        <v>20</v>
      </c>
      <c r="E462" t="s">
        <v>12</v>
      </c>
      <c r="F462">
        <v>53</v>
      </c>
      <c r="G462">
        <v>58</v>
      </c>
      <c r="H462">
        <v>55</v>
      </c>
    </row>
    <row r="463" spans="1:8" x14ac:dyDescent="0.25">
      <c r="A463" t="s">
        <v>17</v>
      </c>
      <c r="B463" t="s">
        <v>9</v>
      </c>
      <c r="C463" t="s">
        <v>14</v>
      </c>
      <c r="D463" t="s">
        <v>20</v>
      </c>
      <c r="E463" t="s">
        <v>12</v>
      </c>
      <c r="F463">
        <v>54</v>
      </c>
      <c r="G463">
        <v>54</v>
      </c>
      <c r="H463">
        <v>45</v>
      </c>
    </row>
    <row r="464" spans="1:8" x14ac:dyDescent="0.25">
      <c r="A464" t="s">
        <v>8</v>
      </c>
      <c r="B464" t="s">
        <v>24</v>
      </c>
      <c r="C464" t="s">
        <v>14</v>
      </c>
      <c r="D464" t="s">
        <v>11</v>
      </c>
      <c r="E464" t="s">
        <v>12</v>
      </c>
      <c r="F464">
        <v>71</v>
      </c>
      <c r="G464">
        <v>70</v>
      </c>
      <c r="H464">
        <v>76</v>
      </c>
    </row>
    <row r="465" spans="1:8" x14ac:dyDescent="0.25">
      <c r="A465" t="s">
        <v>8</v>
      </c>
      <c r="B465" t="s">
        <v>13</v>
      </c>
      <c r="C465" t="s">
        <v>14</v>
      </c>
      <c r="D465" t="s">
        <v>20</v>
      </c>
      <c r="E465" t="s">
        <v>12</v>
      </c>
      <c r="F465">
        <v>77</v>
      </c>
      <c r="G465">
        <v>90</v>
      </c>
      <c r="H465">
        <v>91</v>
      </c>
    </row>
    <row r="466" spans="1:8" x14ac:dyDescent="0.25">
      <c r="A466" t="s">
        <v>17</v>
      </c>
      <c r="B466" t="s">
        <v>18</v>
      </c>
      <c r="C466" t="s">
        <v>10</v>
      </c>
      <c r="D466" t="s">
        <v>11</v>
      </c>
      <c r="E466" t="s">
        <v>15</v>
      </c>
      <c r="F466">
        <v>75</v>
      </c>
      <c r="G466">
        <v>58</v>
      </c>
      <c r="H466">
        <v>62</v>
      </c>
    </row>
    <row r="467" spans="1:8" x14ac:dyDescent="0.25">
      <c r="A467" t="s">
        <v>8</v>
      </c>
      <c r="B467" t="s">
        <v>13</v>
      </c>
      <c r="C467" t="s">
        <v>14</v>
      </c>
      <c r="D467" t="s">
        <v>11</v>
      </c>
      <c r="E467" t="s">
        <v>12</v>
      </c>
      <c r="F467">
        <v>84</v>
      </c>
      <c r="G467">
        <v>87</v>
      </c>
      <c r="H467">
        <v>91</v>
      </c>
    </row>
    <row r="468" spans="1:8" x14ac:dyDescent="0.25">
      <c r="A468" t="s">
        <v>8</v>
      </c>
      <c r="B468" t="s">
        <v>21</v>
      </c>
      <c r="C468" t="s">
        <v>19</v>
      </c>
      <c r="D468" t="s">
        <v>20</v>
      </c>
      <c r="E468" t="s">
        <v>12</v>
      </c>
      <c r="F468">
        <v>26</v>
      </c>
      <c r="G468">
        <v>31</v>
      </c>
      <c r="H468">
        <v>38</v>
      </c>
    </row>
    <row r="469" spans="1:8" x14ac:dyDescent="0.25">
      <c r="A469" t="s">
        <v>17</v>
      </c>
      <c r="B469" t="s">
        <v>18</v>
      </c>
      <c r="C469" t="s">
        <v>22</v>
      </c>
      <c r="D469" t="s">
        <v>20</v>
      </c>
      <c r="E469" t="s">
        <v>15</v>
      </c>
      <c r="F469">
        <v>72</v>
      </c>
      <c r="G469">
        <v>67</v>
      </c>
      <c r="H469">
        <v>65</v>
      </c>
    </row>
    <row r="470" spans="1:8" x14ac:dyDescent="0.25">
      <c r="A470" t="s">
        <v>8</v>
      </c>
      <c r="B470" t="s">
        <v>18</v>
      </c>
      <c r="C470" t="s">
        <v>22</v>
      </c>
      <c r="D470" t="s">
        <v>20</v>
      </c>
      <c r="E470" t="s">
        <v>15</v>
      </c>
      <c r="F470">
        <v>77</v>
      </c>
      <c r="G470">
        <v>88</v>
      </c>
      <c r="H470">
        <v>85</v>
      </c>
    </row>
    <row r="471" spans="1:8" x14ac:dyDescent="0.25">
      <c r="A471" t="s">
        <v>17</v>
      </c>
      <c r="B471" t="s">
        <v>13</v>
      </c>
      <c r="C471" t="s">
        <v>14</v>
      </c>
      <c r="D471" t="s">
        <v>11</v>
      </c>
      <c r="E471" t="s">
        <v>12</v>
      </c>
      <c r="F471">
        <v>91</v>
      </c>
      <c r="G471">
        <v>74</v>
      </c>
      <c r="H471">
        <v>76</v>
      </c>
    </row>
    <row r="472" spans="1:8" x14ac:dyDescent="0.25">
      <c r="A472" t="s">
        <v>8</v>
      </c>
      <c r="B472" t="s">
        <v>13</v>
      </c>
      <c r="C472" t="s">
        <v>19</v>
      </c>
      <c r="D472" t="s">
        <v>11</v>
      </c>
      <c r="E472" t="s">
        <v>15</v>
      </c>
      <c r="F472">
        <v>83</v>
      </c>
      <c r="G472">
        <v>85</v>
      </c>
      <c r="H472">
        <v>90</v>
      </c>
    </row>
    <row r="473" spans="1:8" x14ac:dyDescent="0.25">
      <c r="A473" t="s">
        <v>8</v>
      </c>
      <c r="B473" t="s">
        <v>13</v>
      </c>
      <c r="C473" t="s">
        <v>22</v>
      </c>
      <c r="D473" t="s">
        <v>11</v>
      </c>
      <c r="E473" t="s">
        <v>12</v>
      </c>
      <c r="F473">
        <v>63</v>
      </c>
      <c r="G473">
        <v>69</v>
      </c>
      <c r="H473">
        <v>74</v>
      </c>
    </row>
    <row r="474" spans="1:8" x14ac:dyDescent="0.25">
      <c r="A474" t="s">
        <v>8</v>
      </c>
      <c r="B474" t="s">
        <v>13</v>
      </c>
      <c r="C474" t="s">
        <v>19</v>
      </c>
      <c r="D474" t="s">
        <v>11</v>
      </c>
      <c r="E474" t="s">
        <v>15</v>
      </c>
      <c r="F474">
        <v>68</v>
      </c>
      <c r="G474">
        <v>86</v>
      </c>
      <c r="H474">
        <v>84</v>
      </c>
    </row>
    <row r="475" spans="1:8" x14ac:dyDescent="0.25">
      <c r="A475" t="s">
        <v>8</v>
      </c>
      <c r="B475" t="s">
        <v>21</v>
      </c>
      <c r="C475" t="s">
        <v>23</v>
      </c>
      <c r="D475" t="s">
        <v>11</v>
      </c>
      <c r="E475" t="s">
        <v>12</v>
      </c>
      <c r="F475">
        <v>59</v>
      </c>
      <c r="G475">
        <v>67</v>
      </c>
      <c r="H475">
        <v>61</v>
      </c>
    </row>
    <row r="476" spans="1:8" x14ac:dyDescent="0.25">
      <c r="A476" t="s">
        <v>8</v>
      </c>
      <c r="B476" t="s">
        <v>9</v>
      </c>
      <c r="C476" t="s">
        <v>19</v>
      </c>
      <c r="D476" t="s">
        <v>11</v>
      </c>
      <c r="E476" t="s">
        <v>15</v>
      </c>
      <c r="F476">
        <v>90</v>
      </c>
      <c r="G476">
        <v>90</v>
      </c>
      <c r="H476">
        <v>91</v>
      </c>
    </row>
    <row r="477" spans="1:8" x14ac:dyDescent="0.25">
      <c r="A477" t="s">
        <v>8</v>
      </c>
      <c r="B477" t="s">
        <v>21</v>
      </c>
      <c r="C477" t="s">
        <v>10</v>
      </c>
      <c r="D477" t="s">
        <v>11</v>
      </c>
      <c r="E477" t="s">
        <v>15</v>
      </c>
      <c r="F477">
        <v>71</v>
      </c>
      <c r="G477">
        <v>76</v>
      </c>
      <c r="H477">
        <v>83</v>
      </c>
    </row>
    <row r="478" spans="1:8" x14ac:dyDescent="0.25">
      <c r="A478" t="s">
        <v>17</v>
      </c>
      <c r="B478" t="s">
        <v>24</v>
      </c>
      <c r="C478" t="s">
        <v>10</v>
      </c>
      <c r="D478" t="s">
        <v>11</v>
      </c>
      <c r="E478" t="s">
        <v>15</v>
      </c>
      <c r="F478">
        <v>76</v>
      </c>
      <c r="G478">
        <v>62</v>
      </c>
      <c r="H478">
        <v>66</v>
      </c>
    </row>
    <row r="479" spans="1:8" x14ac:dyDescent="0.25">
      <c r="A479" t="s">
        <v>17</v>
      </c>
      <c r="B479" t="s">
        <v>21</v>
      </c>
      <c r="C479" t="s">
        <v>19</v>
      </c>
      <c r="D479" t="s">
        <v>11</v>
      </c>
      <c r="E479" t="s">
        <v>12</v>
      </c>
      <c r="F479">
        <v>80</v>
      </c>
      <c r="G479">
        <v>68</v>
      </c>
      <c r="H479">
        <v>72</v>
      </c>
    </row>
    <row r="480" spans="1:8" x14ac:dyDescent="0.25">
      <c r="A480" t="s">
        <v>8</v>
      </c>
      <c r="B480" t="s">
        <v>21</v>
      </c>
      <c r="C480" t="s">
        <v>16</v>
      </c>
      <c r="D480" t="s">
        <v>11</v>
      </c>
      <c r="E480" t="s">
        <v>12</v>
      </c>
      <c r="F480">
        <v>55</v>
      </c>
      <c r="G480">
        <v>64</v>
      </c>
      <c r="H480">
        <v>70</v>
      </c>
    </row>
    <row r="481" spans="1:8" x14ac:dyDescent="0.25">
      <c r="A481" t="s">
        <v>17</v>
      </c>
      <c r="B481" t="s">
        <v>24</v>
      </c>
      <c r="C481" t="s">
        <v>19</v>
      </c>
      <c r="D481" t="s">
        <v>11</v>
      </c>
      <c r="E481" t="s">
        <v>12</v>
      </c>
      <c r="F481">
        <v>76</v>
      </c>
      <c r="G481">
        <v>71</v>
      </c>
      <c r="H481">
        <v>67</v>
      </c>
    </row>
    <row r="482" spans="1:8" x14ac:dyDescent="0.25">
      <c r="A482" t="s">
        <v>17</v>
      </c>
      <c r="B482" t="s">
        <v>9</v>
      </c>
      <c r="C482" t="s">
        <v>22</v>
      </c>
      <c r="D482" t="s">
        <v>11</v>
      </c>
      <c r="E482" t="s">
        <v>15</v>
      </c>
      <c r="F482">
        <v>73</v>
      </c>
      <c r="G482">
        <v>71</v>
      </c>
      <c r="H482">
        <v>68</v>
      </c>
    </row>
    <row r="483" spans="1:8" x14ac:dyDescent="0.25">
      <c r="A483" t="s">
        <v>8</v>
      </c>
      <c r="B483" t="s">
        <v>21</v>
      </c>
      <c r="C483" t="s">
        <v>19</v>
      </c>
      <c r="D483" t="s">
        <v>20</v>
      </c>
      <c r="E483" t="s">
        <v>12</v>
      </c>
      <c r="F483">
        <v>52</v>
      </c>
      <c r="G483">
        <v>59</v>
      </c>
      <c r="H483">
        <v>56</v>
      </c>
    </row>
    <row r="484" spans="1:8" x14ac:dyDescent="0.25">
      <c r="A484" t="s">
        <v>17</v>
      </c>
      <c r="B484" t="s">
        <v>13</v>
      </c>
      <c r="C484" t="s">
        <v>14</v>
      </c>
      <c r="D484" t="s">
        <v>20</v>
      </c>
      <c r="E484" t="s">
        <v>12</v>
      </c>
      <c r="F484">
        <v>68</v>
      </c>
      <c r="G484">
        <v>68</v>
      </c>
      <c r="H484">
        <v>61</v>
      </c>
    </row>
    <row r="485" spans="1:8" x14ac:dyDescent="0.25">
      <c r="A485" t="s">
        <v>17</v>
      </c>
      <c r="B485" t="s">
        <v>18</v>
      </c>
      <c r="C485" t="s">
        <v>22</v>
      </c>
      <c r="D485" t="s">
        <v>11</v>
      </c>
      <c r="E485" t="s">
        <v>12</v>
      </c>
      <c r="F485">
        <v>59</v>
      </c>
      <c r="G485">
        <v>52</v>
      </c>
      <c r="H485">
        <v>46</v>
      </c>
    </row>
    <row r="486" spans="1:8" x14ac:dyDescent="0.25">
      <c r="A486" t="s">
        <v>8</v>
      </c>
      <c r="B486" t="s">
        <v>9</v>
      </c>
      <c r="C486" t="s">
        <v>19</v>
      </c>
      <c r="D486" t="s">
        <v>11</v>
      </c>
      <c r="E486" t="s">
        <v>12</v>
      </c>
      <c r="F486">
        <v>49</v>
      </c>
      <c r="G486">
        <v>52</v>
      </c>
      <c r="H486">
        <v>54</v>
      </c>
    </row>
    <row r="487" spans="1:8" x14ac:dyDescent="0.25">
      <c r="A487" t="s">
        <v>17</v>
      </c>
      <c r="B487" t="s">
        <v>13</v>
      </c>
      <c r="C487" t="s">
        <v>22</v>
      </c>
      <c r="D487" t="s">
        <v>11</v>
      </c>
      <c r="E487" t="s">
        <v>12</v>
      </c>
      <c r="F487">
        <v>70</v>
      </c>
      <c r="G487">
        <v>74</v>
      </c>
      <c r="H487">
        <v>71</v>
      </c>
    </row>
    <row r="488" spans="1:8" x14ac:dyDescent="0.25">
      <c r="A488" t="s">
        <v>17</v>
      </c>
      <c r="B488" t="s">
        <v>21</v>
      </c>
      <c r="C488" t="s">
        <v>14</v>
      </c>
      <c r="D488" t="s">
        <v>20</v>
      </c>
      <c r="E488" t="s">
        <v>12</v>
      </c>
      <c r="F488">
        <v>61</v>
      </c>
      <c r="G488">
        <v>47</v>
      </c>
      <c r="H488">
        <v>56</v>
      </c>
    </row>
    <row r="489" spans="1:8" x14ac:dyDescent="0.25">
      <c r="A489" t="s">
        <v>8</v>
      </c>
      <c r="B489" t="s">
        <v>13</v>
      </c>
      <c r="C489" t="s">
        <v>19</v>
      </c>
      <c r="D489" t="s">
        <v>20</v>
      </c>
      <c r="E489" t="s">
        <v>12</v>
      </c>
      <c r="F489">
        <v>60</v>
      </c>
      <c r="G489">
        <v>75</v>
      </c>
      <c r="H489">
        <v>74</v>
      </c>
    </row>
    <row r="490" spans="1:8" x14ac:dyDescent="0.25">
      <c r="A490" t="s">
        <v>17</v>
      </c>
      <c r="B490" t="s">
        <v>9</v>
      </c>
      <c r="C490" t="s">
        <v>23</v>
      </c>
      <c r="D490" t="s">
        <v>11</v>
      </c>
      <c r="E490" t="s">
        <v>15</v>
      </c>
      <c r="F490">
        <v>64</v>
      </c>
      <c r="G490">
        <v>53</v>
      </c>
      <c r="H490">
        <v>57</v>
      </c>
    </row>
    <row r="491" spans="1:8" x14ac:dyDescent="0.25">
      <c r="A491" t="s">
        <v>17</v>
      </c>
      <c r="B491" t="s">
        <v>18</v>
      </c>
      <c r="C491" t="s">
        <v>19</v>
      </c>
      <c r="D491" t="s">
        <v>20</v>
      </c>
      <c r="E491" t="s">
        <v>15</v>
      </c>
      <c r="F491">
        <v>79</v>
      </c>
      <c r="G491">
        <v>82</v>
      </c>
      <c r="H491">
        <v>82</v>
      </c>
    </row>
    <row r="492" spans="1:8" x14ac:dyDescent="0.25">
      <c r="A492" t="s">
        <v>8</v>
      </c>
      <c r="B492" t="s">
        <v>18</v>
      </c>
      <c r="C492" t="s">
        <v>19</v>
      </c>
      <c r="D492" t="s">
        <v>20</v>
      </c>
      <c r="E492" t="s">
        <v>12</v>
      </c>
      <c r="F492">
        <v>65</v>
      </c>
      <c r="G492">
        <v>85</v>
      </c>
      <c r="H492">
        <v>76</v>
      </c>
    </row>
    <row r="493" spans="1:8" x14ac:dyDescent="0.25">
      <c r="A493" t="s">
        <v>8</v>
      </c>
      <c r="B493" t="s">
        <v>13</v>
      </c>
      <c r="C493" t="s">
        <v>19</v>
      </c>
      <c r="D493" t="s">
        <v>11</v>
      </c>
      <c r="E493" t="s">
        <v>12</v>
      </c>
      <c r="F493">
        <v>64</v>
      </c>
      <c r="G493">
        <v>64</v>
      </c>
      <c r="H493">
        <v>70</v>
      </c>
    </row>
    <row r="494" spans="1:8" x14ac:dyDescent="0.25">
      <c r="A494" t="s">
        <v>8</v>
      </c>
      <c r="B494" t="s">
        <v>13</v>
      </c>
      <c r="C494" t="s">
        <v>14</v>
      </c>
      <c r="D494" t="s">
        <v>11</v>
      </c>
      <c r="E494" t="s">
        <v>12</v>
      </c>
      <c r="F494">
        <v>83</v>
      </c>
      <c r="G494">
        <v>83</v>
      </c>
      <c r="H494">
        <v>90</v>
      </c>
    </row>
    <row r="495" spans="1:8" x14ac:dyDescent="0.25">
      <c r="A495" t="s">
        <v>8</v>
      </c>
      <c r="B495" t="s">
        <v>13</v>
      </c>
      <c r="C495" t="s">
        <v>10</v>
      </c>
      <c r="D495" t="s">
        <v>11</v>
      </c>
      <c r="E495" t="s">
        <v>12</v>
      </c>
      <c r="F495">
        <v>81</v>
      </c>
      <c r="G495">
        <v>88</v>
      </c>
      <c r="H495">
        <v>90</v>
      </c>
    </row>
    <row r="496" spans="1:8" x14ac:dyDescent="0.25">
      <c r="A496" t="s">
        <v>8</v>
      </c>
      <c r="B496" t="s">
        <v>9</v>
      </c>
      <c r="C496" t="s">
        <v>22</v>
      </c>
      <c r="D496" t="s">
        <v>11</v>
      </c>
      <c r="E496" t="s">
        <v>12</v>
      </c>
      <c r="F496">
        <v>54</v>
      </c>
      <c r="G496">
        <v>64</v>
      </c>
      <c r="H496">
        <v>68</v>
      </c>
    </row>
    <row r="497" spans="1:8" x14ac:dyDescent="0.25">
      <c r="A497" t="s">
        <v>17</v>
      </c>
      <c r="B497" t="s">
        <v>21</v>
      </c>
      <c r="C497" t="s">
        <v>22</v>
      </c>
      <c r="D497" t="s">
        <v>11</v>
      </c>
      <c r="E497" t="s">
        <v>15</v>
      </c>
      <c r="F497">
        <v>68</v>
      </c>
      <c r="G497">
        <v>64</v>
      </c>
      <c r="H497">
        <v>66</v>
      </c>
    </row>
    <row r="498" spans="1:8" x14ac:dyDescent="0.25">
      <c r="A498" t="s">
        <v>8</v>
      </c>
      <c r="B498" t="s">
        <v>13</v>
      </c>
      <c r="C498" t="s">
        <v>14</v>
      </c>
      <c r="D498" t="s">
        <v>11</v>
      </c>
      <c r="E498" t="s">
        <v>12</v>
      </c>
      <c r="F498">
        <v>54</v>
      </c>
      <c r="G498">
        <v>48</v>
      </c>
      <c r="H498">
        <v>52</v>
      </c>
    </row>
    <row r="499" spans="1:8" x14ac:dyDescent="0.25">
      <c r="A499" t="s">
        <v>8</v>
      </c>
      <c r="B499" t="s">
        <v>21</v>
      </c>
      <c r="C499" t="s">
        <v>14</v>
      </c>
      <c r="D499" t="s">
        <v>20</v>
      </c>
      <c r="E499" t="s">
        <v>15</v>
      </c>
      <c r="F499">
        <v>59</v>
      </c>
      <c r="G499">
        <v>78</v>
      </c>
      <c r="H499">
        <v>76</v>
      </c>
    </row>
    <row r="500" spans="1:8" x14ac:dyDescent="0.25">
      <c r="A500" t="s">
        <v>8</v>
      </c>
      <c r="B500" t="s">
        <v>9</v>
      </c>
      <c r="C500" t="s">
        <v>23</v>
      </c>
      <c r="D500" t="s">
        <v>11</v>
      </c>
      <c r="E500" t="s">
        <v>12</v>
      </c>
      <c r="F500">
        <v>66</v>
      </c>
      <c r="G500">
        <v>69</v>
      </c>
      <c r="H500">
        <v>68</v>
      </c>
    </row>
    <row r="501" spans="1:8" x14ac:dyDescent="0.25">
      <c r="A501" t="s">
        <v>17</v>
      </c>
      <c r="B501" t="s">
        <v>24</v>
      </c>
      <c r="C501" t="s">
        <v>14</v>
      </c>
      <c r="D501" t="s">
        <v>11</v>
      </c>
      <c r="E501" t="s">
        <v>12</v>
      </c>
      <c r="F501">
        <v>76</v>
      </c>
      <c r="G501">
        <v>71</v>
      </c>
      <c r="H501">
        <v>72</v>
      </c>
    </row>
    <row r="502" spans="1:8" x14ac:dyDescent="0.25">
      <c r="A502" t="s">
        <v>8</v>
      </c>
      <c r="B502" t="s">
        <v>21</v>
      </c>
      <c r="C502" t="s">
        <v>16</v>
      </c>
      <c r="D502" t="s">
        <v>11</v>
      </c>
      <c r="E502" t="s">
        <v>12</v>
      </c>
      <c r="F502">
        <v>74</v>
      </c>
      <c r="G502">
        <v>79</v>
      </c>
      <c r="H502">
        <v>82</v>
      </c>
    </row>
    <row r="503" spans="1:8" x14ac:dyDescent="0.25">
      <c r="A503" t="s">
        <v>8</v>
      </c>
      <c r="B503" t="s">
        <v>9</v>
      </c>
      <c r="C503" t="s">
        <v>19</v>
      </c>
      <c r="D503" t="s">
        <v>11</v>
      </c>
      <c r="E503" t="s">
        <v>15</v>
      </c>
      <c r="F503">
        <v>94</v>
      </c>
      <c r="G503">
        <v>87</v>
      </c>
      <c r="H503">
        <v>92</v>
      </c>
    </row>
    <row r="504" spans="1:8" x14ac:dyDescent="0.25">
      <c r="A504" t="s">
        <v>17</v>
      </c>
      <c r="B504" t="s">
        <v>13</v>
      </c>
      <c r="C504" t="s">
        <v>14</v>
      </c>
      <c r="D504" t="s">
        <v>20</v>
      </c>
      <c r="E504" t="s">
        <v>12</v>
      </c>
      <c r="F504">
        <v>63</v>
      </c>
      <c r="G504">
        <v>61</v>
      </c>
      <c r="H504">
        <v>54</v>
      </c>
    </row>
    <row r="505" spans="1:8" x14ac:dyDescent="0.25">
      <c r="A505" t="s">
        <v>8</v>
      </c>
      <c r="B505" t="s">
        <v>24</v>
      </c>
      <c r="C505" t="s">
        <v>19</v>
      </c>
      <c r="D505" t="s">
        <v>11</v>
      </c>
      <c r="E505" t="s">
        <v>15</v>
      </c>
      <c r="F505">
        <v>95</v>
      </c>
      <c r="G505">
        <v>89</v>
      </c>
      <c r="H505">
        <v>92</v>
      </c>
    </row>
    <row r="506" spans="1:8" x14ac:dyDescent="0.25">
      <c r="A506" t="s">
        <v>8</v>
      </c>
      <c r="B506" t="s">
        <v>21</v>
      </c>
      <c r="C506" t="s">
        <v>16</v>
      </c>
      <c r="D506" t="s">
        <v>20</v>
      </c>
      <c r="E506" t="s">
        <v>12</v>
      </c>
      <c r="F506">
        <v>40</v>
      </c>
      <c r="G506">
        <v>59</v>
      </c>
      <c r="H506">
        <v>54</v>
      </c>
    </row>
    <row r="507" spans="1:8" x14ac:dyDescent="0.25">
      <c r="A507" t="s">
        <v>8</v>
      </c>
      <c r="B507" t="s">
        <v>9</v>
      </c>
      <c r="C507" t="s">
        <v>23</v>
      </c>
      <c r="D507" t="s">
        <v>11</v>
      </c>
      <c r="E507" t="s">
        <v>12</v>
      </c>
      <c r="F507">
        <v>82</v>
      </c>
      <c r="G507">
        <v>82</v>
      </c>
      <c r="H507">
        <v>80</v>
      </c>
    </row>
    <row r="508" spans="1:8" x14ac:dyDescent="0.25">
      <c r="A508" t="s">
        <v>17</v>
      </c>
      <c r="B508" t="s">
        <v>18</v>
      </c>
      <c r="C508" t="s">
        <v>22</v>
      </c>
      <c r="D508" t="s">
        <v>11</v>
      </c>
      <c r="E508" t="s">
        <v>12</v>
      </c>
      <c r="F508">
        <v>68</v>
      </c>
      <c r="G508">
        <v>70</v>
      </c>
      <c r="H508">
        <v>66</v>
      </c>
    </row>
    <row r="509" spans="1:8" x14ac:dyDescent="0.25">
      <c r="A509" t="s">
        <v>17</v>
      </c>
      <c r="B509" t="s">
        <v>9</v>
      </c>
      <c r="C509" t="s">
        <v>10</v>
      </c>
      <c r="D509" t="s">
        <v>20</v>
      </c>
      <c r="E509" t="s">
        <v>12</v>
      </c>
      <c r="F509">
        <v>55</v>
      </c>
      <c r="G509">
        <v>59</v>
      </c>
      <c r="H509">
        <v>54</v>
      </c>
    </row>
    <row r="510" spans="1:8" x14ac:dyDescent="0.25">
      <c r="A510" t="s">
        <v>17</v>
      </c>
      <c r="B510" t="s">
        <v>13</v>
      </c>
      <c r="C510" t="s">
        <v>16</v>
      </c>
      <c r="D510" t="s">
        <v>11</v>
      </c>
      <c r="E510" t="s">
        <v>12</v>
      </c>
      <c r="F510">
        <v>79</v>
      </c>
      <c r="G510">
        <v>78</v>
      </c>
      <c r="H510">
        <v>77</v>
      </c>
    </row>
    <row r="511" spans="1:8" x14ac:dyDescent="0.25">
      <c r="A511" t="s">
        <v>8</v>
      </c>
      <c r="B511" t="s">
        <v>13</v>
      </c>
      <c r="C511" t="s">
        <v>10</v>
      </c>
      <c r="D511" t="s">
        <v>11</v>
      </c>
      <c r="E511" t="s">
        <v>12</v>
      </c>
      <c r="F511">
        <v>86</v>
      </c>
      <c r="G511">
        <v>92</v>
      </c>
      <c r="H511">
        <v>87</v>
      </c>
    </row>
    <row r="512" spans="1:8" x14ac:dyDescent="0.25">
      <c r="A512" t="s">
        <v>17</v>
      </c>
      <c r="B512" t="s">
        <v>21</v>
      </c>
      <c r="C512" t="s">
        <v>14</v>
      </c>
      <c r="D512" t="s">
        <v>11</v>
      </c>
      <c r="E512" t="s">
        <v>12</v>
      </c>
      <c r="F512">
        <v>76</v>
      </c>
      <c r="G512">
        <v>71</v>
      </c>
      <c r="H512">
        <v>73</v>
      </c>
    </row>
    <row r="513" spans="1:8" x14ac:dyDescent="0.25">
      <c r="A513" t="s">
        <v>17</v>
      </c>
      <c r="B513" t="s">
        <v>18</v>
      </c>
      <c r="C513" t="s">
        <v>23</v>
      </c>
      <c r="D513" t="s">
        <v>11</v>
      </c>
      <c r="E513" t="s">
        <v>12</v>
      </c>
      <c r="F513">
        <v>64</v>
      </c>
      <c r="G513">
        <v>50</v>
      </c>
      <c r="H513">
        <v>43</v>
      </c>
    </row>
    <row r="514" spans="1:8" x14ac:dyDescent="0.25">
      <c r="A514" t="s">
        <v>17</v>
      </c>
      <c r="B514" t="s">
        <v>21</v>
      </c>
      <c r="C514" t="s">
        <v>23</v>
      </c>
      <c r="D514" t="s">
        <v>20</v>
      </c>
      <c r="E514" t="s">
        <v>12</v>
      </c>
      <c r="F514">
        <v>62</v>
      </c>
      <c r="G514">
        <v>49</v>
      </c>
      <c r="H514">
        <v>52</v>
      </c>
    </row>
    <row r="515" spans="1:8" x14ac:dyDescent="0.25">
      <c r="A515" t="s">
        <v>8</v>
      </c>
      <c r="B515" t="s">
        <v>9</v>
      </c>
      <c r="C515" t="s">
        <v>23</v>
      </c>
      <c r="D515" t="s">
        <v>11</v>
      </c>
      <c r="E515" t="s">
        <v>15</v>
      </c>
      <c r="F515">
        <v>54</v>
      </c>
      <c r="G515">
        <v>61</v>
      </c>
      <c r="H515">
        <v>62</v>
      </c>
    </row>
    <row r="516" spans="1:8" x14ac:dyDescent="0.25">
      <c r="A516" t="s">
        <v>8</v>
      </c>
      <c r="B516" t="s">
        <v>9</v>
      </c>
      <c r="C516" t="s">
        <v>16</v>
      </c>
      <c r="D516" t="s">
        <v>20</v>
      </c>
      <c r="E516" t="s">
        <v>15</v>
      </c>
      <c r="F516">
        <v>77</v>
      </c>
      <c r="G516">
        <v>97</v>
      </c>
      <c r="H516">
        <v>94</v>
      </c>
    </row>
    <row r="517" spans="1:8" x14ac:dyDescent="0.25">
      <c r="A517" t="s">
        <v>8</v>
      </c>
      <c r="B517" t="s">
        <v>13</v>
      </c>
      <c r="C517" t="s">
        <v>23</v>
      </c>
      <c r="D517" t="s">
        <v>11</v>
      </c>
      <c r="E517" t="s">
        <v>15</v>
      </c>
      <c r="F517">
        <v>76</v>
      </c>
      <c r="G517">
        <v>87</v>
      </c>
      <c r="H517">
        <v>85</v>
      </c>
    </row>
    <row r="518" spans="1:8" x14ac:dyDescent="0.25">
      <c r="A518" t="s">
        <v>8</v>
      </c>
      <c r="B518" t="s">
        <v>21</v>
      </c>
      <c r="C518" t="s">
        <v>14</v>
      </c>
      <c r="D518" t="s">
        <v>11</v>
      </c>
      <c r="E518" t="s">
        <v>12</v>
      </c>
      <c r="F518">
        <v>74</v>
      </c>
      <c r="G518">
        <v>89</v>
      </c>
      <c r="H518">
        <v>84</v>
      </c>
    </row>
    <row r="519" spans="1:8" x14ac:dyDescent="0.25">
      <c r="A519" t="s">
        <v>8</v>
      </c>
      <c r="B519" t="s">
        <v>24</v>
      </c>
      <c r="C519" t="s">
        <v>14</v>
      </c>
      <c r="D519" t="s">
        <v>11</v>
      </c>
      <c r="E519" t="s">
        <v>15</v>
      </c>
      <c r="F519">
        <v>66</v>
      </c>
      <c r="G519">
        <v>74</v>
      </c>
      <c r="H519">
        <v>73</v>
      </c>
    </row>
    <row r="520" spans="1:8" x14ac:dyDescent="0.25">
      <c r="A520" t="s">
        <v>8</v>
      </c>
      <c r="B520" t="s">
        <v>21</v>
      </c>
      <c r="C520" t="s">
        <v>23</v>
      </c>
      <c r="D520" t="s">
        <v>11</v>
      </c>
      <c r="E520" t="s">
        <v>15</v>
      </c>
      <c r="F520">
        <v>66</v>
      </c>
      <c r="G520">
        <v>78</v>
      </c>
      <c r="H520">
        <v>78</v>
      </c>
    </row>
    <row r="521" spans="1:8" x14ac:dyDescent="0.25">
      <c r="A521" t="s">
        <v>8</v>
      </c>
      <c r="B521" t="s">
        <v>9</v>
      </c>
      <c r="C521" t="s">
        <v>22</v>
      </c>
      <c r="D521" t="s">
        <v>20</v>
      </c>
      <c r="E521" t="s">
        <v>15</v>
      </c>
      <c r="F521">
        <v>67</v>
      </c>
      <c r="G521">
        <v>78</v>
      </c>
      <c r="H521">
        <v>79</v>
      </c>
    </row>
    <row r="522" spans="1:8" x14ac:dyDescent="0.25">
      <c r="A522" t="s">
        <v>17</v>
      </c>
      <c r="B522" t="s">
        <v>21</v>
      </c>
      <c r="C522" t="s">
        <v>14</v>
      </c>
      <c r="D522" t="s">
        <v>11</v>
      </c>
      <c r="E522" t="s">
        <v>12</v>
      </c>
      <c r="F522">
        <v>71</v>
      </c>
      <c r="G522">
        <v>49</v>
      </c>
      <c r="H522">
        <v>52</v>
      </c>
    </row>
    <row r="523" spans="1:8" x14ac:dyDescent="0.25">
      <c r="A523" t="s">
        <v>8</v>
      </c>
      <c r="B523" t="s">
        <v>13</v>
      </c>
      <c r="C523" t="s">
        <v>19</v>
      </c>
      <c r="D523" t="s">
        <v>11</v>
      </c>
      <c r="E523" t="s">
        <v>12</v>
      </c>
      <c r="F523">
        <v>91</v>
      </c>
      <c r="G523">
        <v>86</v>
      </c>
      <c r="H523">
        <v>84</v>
      </c>
    </row>
    <row r="524" spans="1:8" x14ac:dyDescent="0.25">
      <c r="A524" t="s">
        <v>17</v>
      </c>
      <c r="B524" t="s">
        <v>21</v>
      </c>
      <c r="C524" t="s">
        <v>10</v>
      </c>
      <c r="D524" t="s">
        <v>11</v>
      </c>
      <c r="E524" t="s">
        <v>12</v>
      </c>
      <c r="F524">
        <v>69</v>
      </c>
      <c r="G524">
        <v>58</v>
      </c>
      <c r="H524">
        <v>57</v>
      </c>
    </row>
    <row r="525" spans="1:8" x14ac:dyDescent="0.25">
      <c r="A525" t="s">
        <v>17</v>
      </c>
      <c r="B525" t="s">
        <v>13</v>
      </c>
      <c r="C525" t="s">
        <v>16</v>
      </c>
      <c r="D525" t="s">
        <v>20</v>
      </c>
      <c r="E525" t="s">
        <v>12</v>
      </c>
      <c r="F525">
        <v>54</v>
      </c>
      <c r="G525">
        <v>59</v>
      </c>
      <c r="H525">
        <v>50</v>
      </c>
    </row>
    <row r="526" spans="1:8" x14ac:dyDescent="0.25">
      <c r="A526" t="s">
        <v>17</v>
      </c>
      <c r="B526" t="s">
        <v>13</v>
      </c>
      <c r="C526" t="s">
        <v>22</v>
      </c>
      <c r="D526" t="s">
        <v>11</v>
      </c>
      <c r="E526" t="s">
        <v>15</v>
      </c>
      <c r="F526">
        <v>53</v>
      </c>
      <c r="G526">
        <v>52</v>
      </c>
      <c r="H526">
        <v>49</v>
      </c>
    </row>
    <row r="527" spans="1:8" x14ac:dyDescent="0.25">
      <c r="A527" t="s">
        <v>17</v>
      </c>
      <c r="B527" t="s">
        <v>24</v>
      </c>
      <c r="C527" t="s">
        <v>14</v>
      </c>
      <c r="D527" t="s">
        <v>11</v>
      </c>
      <c r="E527" t="s">
        <v>12</v>
      </c>
      <c r="F527">
        <v>68</v>
      </c>
      <c r="G527">
        <v>60</v>
      </c>
      <c r="H527">
        <v>59</v>
      </c>
    </row>
    <row r="528" spans="1:8" x14ac:dyDescent="0.25">
      <c r="A528" t="s">
        <v>17</v>
      </c>
      <c r="B528" t="s">
        <v>13</v>
      </c>
      <c r="C528" t="s">
        <v>23</v>
      </c>
      <c r="D528" t="s">
        <v>20</v>
      </c>
      <c r="E528" t="s">
        <v>15</v>
      </c>
      <c r="F528">
        <v>56</v>
      </c>
      <c r="G528">
        <v>61</v>
      </c>
      <c r="H528">
        <v>60</v>
      </c>
    </row>
    <row r="529" spans="1:8" x14ac:dyDescent="0.25">
      <c r="A529" t="s">
        <v>8</v>
      </c>
      <c r="B529" t="s">
        <v>13</v>
      </c>
      <c r="C529" t="s">
        <v>22</v>
      </c>
      <c r="D529" t="s">
        <v>20</v>
      </c>
      <c r="E529" t="s">
        <v>12</v>
      </c>
      <c r="F529">
        <v>36</v>
      </c>
      <c r="G529">
        <v>53</v>
      </c>
      <c r="H529">
        <v>43</v>
      </c>
    </row>
    <row r="530" spans="1:8" x14ac:dyDescent="0.25">
      <c r="A530" t="s">
        <v>8</v>
      </c>
      <c r="B530" t="s">
        <v>21</v>
      </c>
      <c r="C530" t="s">
        <v>10</v>
      </c>
      <c r="D530" t="s">
        <v>20</v>
      </c>
      <c r="E530" t="s">
        <v>12</v>
      </c>
      <c r="F530">
        <v>29</v>
      </c>
      <c r="G530">
        <v>41</v>
      </c>
      <c r="H530">
        <v>47</v>
      </c>
    </row>
    <row r="531" spans="1:8" x14ac:dyDescent="0.25">
      <c r="A531" t="s">
        <v>8</v>
      </c>
      <c r="B531" t="s">
        <v>13</v>
      </c>
      <c r="C531" t="s">
        <v>19</v>
      </c>
      <c r="D531" t="s">
        <v>11</v>
      </c>
      <c r="E531" t="s">
        <v>12</v>
      </c>
      <c r="F531">
        <v>62</v>
      </c>
      <c r="G531">
        <v>74</v>
      </c>
      <c r="H531">
        <v>70</v>
      </c>
    </row>
    <row r="532" spans="1:8" x14ac:dyDescent="0.25">
      <c r="A532" t="s">
        <v>8</v>
      </c>
      <c r="B532" t="s">
        <v>13</v>
      </c>
      <c r="C532" t="s">
        <v>19</v>
      </c>
      <c r="D532" t="s">
        <v>11</v>
      </c>
      <c r="E532" t="s">
        <v>15</v>
      </c>
      <c r="F532">
        <v>68</v>
      </c>
      <c r="G532">
        <v>67</v>
      </c>
      <c r="H532">
        <v>73</v>
      </c>
    </row>
    <row r="533" spans="1:8" x14ac:dyDescent="0.25">
      <c r="A533" t="s">
        <v>8</v>
      </c>
      <c r="B533" t="s">
        <v>13</v>
      </c>
      <c r="C533" t="s">
        <v>23</v>
      </c>
      <c r="D533" t="s">
        <v>11</v>
      </c>
      <c r="E533" t="s">
        <v>12</v>
      </c>
      <c r="F533">
        <v>47</v>
      </c>
      <c r="G533">
        <v>54</v>
      </c>
      <c r="H533">
        <v>53</v>
      </c>
    </row>
    <row r="534" spans="1:8" x14ac:dyDescent="0.25">
      <c r="A534" t="s">
        <v>17</v>
      </c>
      <c r="B534" t="s">
        <v>24</v>
      </c>
      <c r="C534" t="s">
        <v>19</v>
      </c>
      <c r="D534" t="s">
        <v>11</v>
      </c>
      <c r="E534" t="s">
        <v>15</v>
      </c>
      <c r="F534">
        <v>62</v>
      </c>
      <c r="G534">
        <v>61</v>
      </c>
      <c r="H534">
        <v>58</v>
      </c>
    </row>
    <row r="535" spans="1:8" x14ac:dyDescent="0.25">
      <c r="A535" t="s">
        <v>8</v>
      </c>
      <c r="B535" t="s">
        <v>24</v>
      </c>
      <c r="C535" t="s">
        <v>19</v>
      </c>
      <c r="D535" t="s">
        <v>11</v>
      </c>
      <c r="E535" t="s">
        <v>15</v>
      </c>
      <c r="F535">
        <v>79</v>
      </c>
      <c r="G535">
        <v>88</v>
      </c>
      <c r="H535">
        <v>94</v>
      </c>
    </row>
    <row r="536" spans="1:8" x14ac:dyDescent="0.25">
      <c r="A536" t="s">
        <v>17</v>
      </c>
      <c r="B536" t="s">
        <v>9</v>
      </c>
      <c r="C536" t="s">
        <v>22</v>
      </c>
      <c r="D536" t="s">
        <v>11</v>
      </c>
      <c r="E536" t="s">
        <v>15</v>
      </c>
      <c r="F536">
        <v>73</v>
      </c>
      <c r="G536">
        <v>69</v>
      </c>
      <c r="H536">
        <v>68</v>
      </c>
    </row>
    <row r="537" spans="1:8" x14ac:dyDescent="0.25">
      <c r="A537" t="s">
        <v>8</v>
      </c>
      <c r="B537" t="s">
        <v>13</v>
      </c>
      <c r="C537" t="s">
        <v>10</v>
      </c>
      <c r="D537" t="s">
        <v>20</v>
      </c>
      <c r="E537" t="s">
        <v>15</v>
      </c>
      <c r="F537">
        <v>66</v>
      </c>
      <c r="G537">
        <v>83</v>
      </c>
      <c r="H537">
        <v>83</v>
      </c>
    </row>
    <row r="538" spans="1:8" x14ac:dyDescent="0.25">
      <c r="A538" t="s">
        <v>17</v>
      </c>
      <c r="B538" t="s">
        <v>13</v>
      </c>
      <c r="C538" t="s">
        <v>19</v>
      </c>
      <c r="D538" t="s">
        <v>11</v>
      </c>
      <c r="E538" t="s">
        <v>15</v>
      </c>
      <c r="F538">
        <v>51</v>
      </c>
      <c r="G538">
        <v>60</v>
      </c>
      <c r="H538">
        <v>58</v>
      </c>
    </row>
    <row r="539" spans="1:8" x14ac:dyDescent="0.25">
      <c r="A539" t="s">
        <v>8</v>
      </c>
      <c r="B539" t="s">
        <v>21</v>
      </c>
      <c r="C539" t="s">
        <v>22</v>
      </c>
      <c r="D539" t="s">
        <v>11</v>
      </c>
      <c r="E539" t="s">
        <v>12</v>
      </c>
      <c r="F539">
        <v>51</v>
      </c>
      <c r="G539">
        <v>66</v>
      </c>
      <c r="H539">
        <v>62</v>
      </c>
    </row>
    <row r="540" spans="1:8" x14ac:dyDescent="0.25">
      <c r="A540" t="s">
        <v>17</v>
      </c>
      <c r="B540" t="s">
        <v>24</v>
      </c>
      <c r="C540" t="s">
        <v>10</v>
      </c>
      <c r="D540" t="s">
        <v>11</v>
      </c>
      <c r="E540" t="s">
        <v>15</v>
      </c>
      <c r="F540">
        <v>85</v>
      </c>
      <c r="G540">
        <v>66</v>
      </c>
      <c r="H540">
        <v>71</v>
      </c>
    </row>
    <row r="541" spans="1:8" x14ac:dyDescent="0.25">
      <c r="A541" t="s">
        <v>17</v>
      </c>
      <c r="B541" t="s">
        <v>18</v>
      </c>
      <c r="C541" t="s">
        <v>19</v>
      </c>
      <c r="D541" t="s">
        <v>11</v>
      </c>
      <c r="E541" t="s">
        <v>15</v>
      </c>
      <c r="F541">
        <v>97</v>
      </c>
      <c r="G541">
        <v>92</v>
      </c>
      <c r="H541">
        <v>86</v>
      </c>
    </row>
    <row r="542" spans="1:8" x14ac:dyDescent="0.25">
      <c r="A542" t="s">
        <v>17</v>
      </c>
      <c r="B542" t="s">
        <v>13</v>
      </c>
      <c r="C542" t="s">
        <v>22</v>
      </c>
      <c r="D542" t="s">
        <v>11</v>
      </c>
      <c r="E542" t="s">
        <v>15</v>
      </c>
      <c r="F542">
        <v>75</v>
      </c>
      <c r="G542">
        <v>69</v>
      </c>
      <c r="H542">
        <v>68</v>
      </c>
    </row>
    <row r="543" spans="1:8" x14ac:dyDescent="0.25">
      <c r="A543" t="s">
        <v>17</v>
      </c>
      <c r="B543" t="s">
        <v>21</v>
      </c>
      <c r="C543" t="s">
        <v>19</v>
      </c>
      <c r="D543" t="s">
        <v>20</v>
      </c>
      <c r="E543" t="s">
        <v>15</v>
      </c>
      <c r="F543">
        <v>79</v>
      </c>
      <c r="G543">
        <v>82</v>
      </c>
      <c r="H543">
        <v>80</v>
      </c>
    </row>
    <row r="544" spans="1:8" x14ac:dyDescent="0.25">
      <c r="A544" t="s">
        <v>8</v>
      </c>
      <c r="B544" t="s">
        <v>13</v>
      </c>
      <c r="C544" t="s">
        <v>19</v>
      </c>
      <c r="D544" t="s">
        <v>11</v>
      </c>
      <c r="E544" t="s">
        <v>12</v>
      </c>
      <c r="F544">
        <v>81</v>
      </c>
      <c r="G544">
        <v>77</v>
      </c>
      <c r="H544">
        <v>79</v>
      </c>
    </row>
    <row r="545" spans="1:8" x14ac:dyDescent="0.25">
      <c r="A545" t="s">
        <v>8</v>
      </c>
      <c r="B545" t="s">
        <v>21</v>
      </c>
      <c r="C545" t="s">
        <v>19</v>
      </c>
      <c r="D545" t="s">
        <v>11</v>
      </c>
      <c r="E545" t="s">
        <v>12</v>
      </c>
      <c r="F545">
        <v>82</v>
      </c>
      <c r="G545">
        <v>95</v>
      </c>
      <c r="H545">
        <v>89</v>
      </c>
    </row>
    <row r="546" spans="1:8" x14ac:dyDescent="0.25">
      <c r="A546" t="s">
        <v>8</v>
      </c>
      <c r="B546" t="s">
        <v>21</v>
      </c>
      <c r="C546" t="s">
        <v>16</v>
      </c>
      <c r="D546" t="s">
        <v>11</v>
      </c>
      <c r="E546" t="s">
        <v>12</v>
      </c>
      <c r="F546">
        <v>64</v>
      </c>
      <c r="G546">
        <v>63</v>
      </c>
      <c r="H546">
        <v>66</v>
      </c>
    </row>
    <row r="547" spans="1:8" x14ac:dyDescent="0.25">
      <c r="A547" t="s">
        <v>17</v>
      </c>
      <c r="B547" t="s">
        <v>24</v>
      </c>
      <c r="C547" t="s">
        <v>23</v>
      </c>
      <c r="D547" t="s">
        <v>20</v>
      </c>
      <c r="E547" t="s">
        <v>15</v>
      </c>
      <c r="F547">
        <v>78</v>
      </c>
      <c r="G547">
        <v>83</v>
      </c>
      <c r="H547">
        <v>80</v>
      </c>
    </row>
    <row r="548" spans="1:8" x14ac:dyDescent="0.25">
      <c r="A548" t="s">
        <v>8</v>
      </c>
      <c r="B548" t="s">
        <v>18</v>
      </c>
      <c r="C548" t="s">
        <v>23</v>
      </c>
      <c r="D548" t="s">
        <v>11</v>
      </c>
      <c r="E548" t="s">
        <v>15</v>
      </c>
      <c r="F548">
        <v>92</v>
      </c>
      <c r="G548">
        <v>100</v>
      </c>
      <c r="H548">
        <v>97</v>
      </c>
    </row>
    <row r="549" spans="1:8" x14ac:dyDescent="0.25">
      <c r="A549" t="s">
        <v>17</v>
      </c>
      <c r="B549" t="s">
        <v>13</v>
      </c>
      <c r="C549" t="s">
        <v>22</v>
      </c>
      <c r="D549" t="s">
        <v>11</v>
      </c>
      <c r="E549" t="s">
        <v>15</v>
      </c>
      <c r="F549">
        <v>72</v>
      </c>
      <c r="G549">
        <v>67</v>
      </c>
      <c r="H549">
        <v>64</v>
      </c>
    </row>
    <row r="550" spans="1:8" x14ac:dyDescent="0.25">
      <c r="A550" t="s">
        <v>8</v>
      </c>
      <c r="B550" t="s">
        <v>13</v>
      </c>
      <c r="C550" t="s">
        <v>22</v>
      </c>
      <c r="D550" t="s">
        <v>20</v>
      </c>
      <c r="E550" t="s">
        <v>12</v>
      </c>
      <c r="F550">
        <v>62</v>
      </c>
      <c r="G550">
        <v>67</v>
      </c>
      <c r="H550">
        <v>64</v>
      </c>
    </row>
    <row r="551" spans="1:8" x14ac:dyDescent="0.25">
      <c r="A551" t="s">
        <v>17</v>
      </c>
      <c r="B551" t="s">
        <v>13</v>
      </c>
      <c r="C551" t="s">
        <v>16</v>
      </c>
      <c r="D551" t="s">
        <v>11</v>
      </c>
      <c r="E551" t="s">
        <v>12</v>
      </c>
      <c r="F551">
        <v>79</v>
      </c>
      <c r="G551">
        <v>72</v>
      </c>
      <c r="H551">
        <v>69</v>
      </c>
    </row>
    <row r="552" spans="1:8" x14ac:dyDescent="0.25">
      <c r="A552" t="s">
        <v>17</v>
      </c>
      <c r="B552" t="s">
        <v>13</v>
      </c>
      <c r="C552" t="s">
        <v>23</v>
      </c>
      <c r="D552" t="s">
        <v>20</v>
      </c>
      <c r="E552" t="s">
        <v>12</v>
      </c>
      <c r="F552">
        <v>79</v>
      </c>
      <c r="G552">
        <v>76</v>
      </c>
      <c r="H552">
        <v>65</v>
      </c>
    </row>
    <row r="553" spans="1:8" x14ac:dyDescent="0.25">
      <c r="A553" t="s">
        <v>17</v>
      </c>
      <c r="B553" t="s">
        <v>9</v>
      </c>
      <c r="C553" t="s">
        <v>10</v>
      </c>
      <c r="D553" t="s">
        <v>20</v>
      </c>
      <c r="E553" t="s">
        <v>15</v>
      </c>
      <c r="F553">
        <v>87</v>
      </c>
      <c r="G553">
        <v>90</v>
      </c>
      <c r="H553">
        <v>88</v>
      </c>
    </row>
    <row r="554" spans="1:8" x14ac:dyDescent="0.25">
      <c r="A554" t="s">
        <v>8</v>
      </c>
      <c r="B554" t="s">
        <v>9</v>
      </c>
      <c r="C554" t="s">
        <v>19</v>
      </c>
      <c r="D554" t="s">
        <v>11</v>
      </c>
      <c r="E554" t="s">
        <v>12</v>
      </c>
      <c r="F554">
        <v>40</v>
      </c>
      <c r="G554">
        <v>48</v>
      </c>
      <c r="H554">
        <v>50</v>
      </c>
    </row>
    <row r="555" spans="1:8" x14ac:dyDescent="0.25">
      <c r="A555" t="s">
        <v>17</v>
      </c>
      <c r="B555" t="s">
        <v>21</v>
      </c>
      <c r="C555" t="s">
        <v>14</v>
      </c>
      <c r="D555" t="s">
        <v>20</v>
      </c>
      <c r="E555" t="s">
        <v>12</v>
      </c>
      <c r="F555">
        <v>77</v>
      </c>
      <c r="G555">
        <v>62</v>
      </c>
      <c r="H555">
        <v>64</v>
      </c>
    </row>
    <row r="556" spans="1:8" x14ac:dyDescent="0.25">
      <c r="A556" t="s">
        <v>17</v>
      </c>
      <c r="B556" t="s">
        <v>24</v>
      </c>
      <c r="C556" t="s">
        <v>19</v>
      </c>
      <c r="D556" t="s">
        <v>11</v>
      </c>
      <c r="E556" t="s">
        <v>12</v>
      </c>
      <c r="F556">
        <v>53</v>
      </c>
      <c r="G556">
        <v>45</v>
      </c>
      <c r="H556">
        <v>40</v>
      </c>
    </row>
    <row r="557" spans="1:8" x14ac:dyDescent="0.25">
      <c r="A557" t="s">
        <v>8</v>
      </c>
      <c r="B557" t="s">
        <v>13</v>
      </c>
      <c r="C557" t="s">
        <v>14</v>
      </c>
      <c r="D557" t="s">
        <v>20</v>
      </c>
      <c r="E557" t="s">
        <v>12</v>
      </c>
      <c r="F557">
        <v>32</v>
      </c>
      <c r="G557">
        <v>39</v>
      </c>
      <c r="H557">
        <v>33</v>
      </c>
    </row>
    <row r="558" spans="1:8" x14ac:dyDescent="0.25">
      <c r="A558" t="s">
        <v>8</v>
      </c>
      <c r="B558" t="s">
        <v>13</v>
      </c>
      <c r="C558" t="s">
        <v>19</v>
      </c>
      <c r="D558" t="s">
        <v>11</v>
      </c>
      <c r="E558" t="s">
        <v>15</v>
      </c>
      <c r="F558">
        <v>55</v>
      </c>
      <c r="G558">
        <v>72</v>
      </c>
      <c r="H558">
        <v>79</v>
      </c>
    </row>
    <row r="559" spans="1:8" x14ac:dyDescent="0.25">
      <c r="A559" t="s">
        <v>17</v>
      </c>
      <c r="B559" t="s">
        <v>13</v>
      </c>
      <c r="C559" t="s">
        <v>16</v>
      </c>
      <c r="D559" t="s">
        <v>20</v>
      </c>
      <c r="E559" t="s">
        <v>12</v>
      </c>
      <c r="F559">
        <v>61</v>
      </c>
      <c r="G559">
        <v>67</v>
      </c>
      <c r="H559">
        <v>66</v>
      </c>
    </row>
    <row r="560" spans="1:8" x14ac:dyDescent="0.25">
      <c r="A560" t="s">
        <v>8</v>
      </c>
      <c r="B560" t="s">
        <v>9</v>
      </c>
      <c r="C560" t="s">
        <v>19</v>
      </c>
      <c r="D560" t="s">
        <v>20</v>
      </c>
      <c r="E560" t="s">
        <v>12</v>
      </c>
      <c r="F560">
        <v>53</v>
      </c>
      <c r="G560">
        <v>70</v>
      </c>
      <c r="H560">
        <v>70</v>
      </c>
    </row>
    <row r="561" spans="1:8" x14ac:dyDescent="0.25">
      <c r="A561" t="s">
        <v>17</v>
      </c>
      <c r="B561" t="s">
        <v>21</v>
      </c>
      <c r="C561" t="s">
        <v>23</v>
      </c>
      <c r="D561" t="s">
        <v>11</v>
      </c>
      <c r="E561" t="s">
        <v>12</v>
      </c>
      <c r="F561">
        <v>73</v>
      </c>
      <c r="G561">
        <v>66</v>
      </c>
      <c r="H561">
        <v>62</v>
      </c>
    </row>
    <row r="562" spans="1:8" x14ac:dyDescent="0.25">
      <c r="A562" t="s">
        <v>8</v>
      </c>
      <c r="B562" t="s">
        <v>21</v>
      </c>
      <c r="C562" t="s">
        <v>14</v>
      </c>
      <c r="D562" t="s">
        <v>11</v>
      </c>
      <c r="E562" t="s">
        <v>15</v>
      </c>
      <c r="F562">
        <v>74</v>
      </c>
      <c r="G562">
        <v>75</v>
      </c>
      <c r="H562">
        <v>79</v>
      </c>
    </row>
    <row r="563" spans="1:8" x14ac:dyDescent="0.25">
      <c r="A563" t="s">
        <v>8</v>
      </c>
      <c r="B563" t="s">
        <v>13</v>
      </c>
      <c r="C563" t="s">
        <v>14</v>
      </c>
      <c r="D563" t="s">
        <v>11</v>
      </c>
      <c r="E563" t="s">
        <v>12</v>
      </c>
      <c r="F563">
        <v>63</v>
      </c>
      <c r="G563">
        <v>74</v>
      </c>
      <c r="H563">
        <v>74</v>
      </c>
    </row>
    <row r="564" spans="1:8" x14ac:dyDescent="0.25">
      <c r="A564" t="s">
        <v>17</v>
      </c>
      <c r="B564" t="s">
        <v>13</v>
      </c>
      <c r="C564" t="s">
        <v>10</v>
      </c>
      <c r="D564" t="s">
        <v>11</v>
      </c>
      <c r="E564" t="s">
        <v>15</v>
      </c>
      <c r="F564">
        <v>96</v>
      </c>
      <c r="G564">
        <v>90</v>
      </c>
      <c r="H564">
        <v>92</v>
      </c>
    </row>
    <row r="565" spans="1:8" x14ac:dyDescent="0.25">
      <c r="A565" t="s">
        <v>8</v>
      </c>
      <c r="B565" t="s">
        <v>21</v>
      </c>
      <c r="C565" t="s">
        <v>14</v>
      </c>
      <c r="D565" t="s">
        <v>20</v>
      </c>
      <c r="E565" t="s">
        <v>15</v>
      </c>
      <c r="F565">
        <v>63</v>
      </c>
      <c r="G565">
        <v>80</v>
      </c>
      <c r="H565">
        <v>80</v>
      </c>
    </row>
    <row r="566" spans="1:8" x14ac:dyDescent="0.25">
      <c r="A566" t="s">
        <v>17</v>
      </c>
      <c r="B566" t="s">
        <v>9</v>
      </c>
      <c r="C566" t="s">
        <v>10</v>
      </c>
      <c r="D566" t="s">
        <v>20</v>
      </c>
      <c r="E566" t="s">
        <v>12</v>
      </c>
      <c r="F566">
        <v>48</v>
      </c>
      <c r="G566">
        <v>51</v>
      </c>
      <c r="H566">
        <v>46</v>
      </c>
    </row>
    <row r="567" spans="1:8" x14ac:dyDescent="0.25">
      <c r="A567" t="s">
        <v>17</v>
      </c>
      <c r="B567" t="s">
        <v>9</v>
      </c>
      <c r="C567" t="s">
        <v>19</v>
      </c>
      <c r="D567" t="s">
        <v>11</v>
      </c>
      <c r="E567" t="s">
        <v>12</v>
      </c>
      <c r="F567">
        <v>48</v>
      </c>
      <c r="G567">
        <v>43</v>
      </c>
      <c r="H567">
        <v>45</v>
      </c>
    </row>
    <row r="568" spans="1:8" x14ac:dyDescent="0.25">
      <c r="A568" t="s">
        <v>8</v>
      </c>
      <c r="B568" t="s">
        <v>24</v>
      </c>
      <c r="C568" t="s">
        <v>10</v>
      </c>
      <c r="D568" t="s">
        <v>20</v>
      </c>
      <c r="E568" t="s">
        <v>15</v>
      </c>
      <c r="F568">
        <v>92</v>
      </c>
      <c r="G568">
        <v>100</v>
      </c>
      <c r="H568">
        <v>100</v>
      </c>
    </row>
    <row r="569" spans="1:8" x14ac:dyDescent="0.25">
      <c r="A569" t="s">
        <v>8</v>
      </c>
      <c r="B569" t="s">
        <v>21</v>
      </c>
      <c r="C569" t="s">
        <v>16</v>
      </c>
      <c r="D569" t="s">
        <v>20</v>
      </c>
      <c r="E569" t="s">
        <v>15</v>
      </c>
      <c r="F569">
        <v>61</v>
      </c>
      <c r="G569">
        <v>71</v>
      </c>
      <c r="H569">
        <v>78</v>
      </c>
    </row>
    <row r="570" spans="1:8" x14ac:dyDescent="0.25">
      <c r="A570" t="s">
        <v>17</v>
      </c>
      <c r="B570" t="s">
        <v>9</v>
      </c>
      <c r="C570" t="s">
        <v>22</v>
      </c>
      <c r="D570" t="s">
        <v>20</v>
      </c>
      <c r="E570" t="s">
        <v>12</v>
      </c>
      <c r="F570">
        <v>63</v>
      </c>
      <c r="G570">
        <v>48</v>
      </c>
      <c r="H570">
        <v>47</v>
      </c>
    </row>
    <row r="571" spans="1:8" x14ac:dyDescent="0.25">
      <c r="A571" t="s">
        <v>17</v>
      </c>
      <c r="B571" t="s">
        <v>21</v>
      </c>
      <c r="C571" t="s">
        <v>10</v>
      </c>
      <c r="D571" t="s">
        <v>20</v>
      </c>
      <c r="E571" t="s">
        <v>12</v>
      </c>
      <c r="F571">
        <v>68</v>
      </c>
      <c r="G571">
        <v>68</v>
      </c>
      <c r="H571">
        <v>67</v>
      </c>
    </row>
    <row r="572" spans="1:8" x14ac:dyDescent="0.25">
      <c r="A572" t="s">
        <v>17</v>
      </c>
      <c r="B572" t="s">
        <v>9</v>
      </c>
      <c r="C572" t="s">
        <v>14</v>
      </c>
      <c r="D572" t="s">
        <v>11</v>
      </c>
      <c r="E572" t="s">
        <v>15</v>
      </c>
      <c r="F572">
        <v>71</v>
      </c>
      <c r="G572">
        <v>75</v>
      </c>
      <c r="H572">
        <v>70</v>
      </c>
    </row>
    <row r="573" spans="1:8" x14ac:dyDescent="0.25">
      <c r="A573" t="s">
        <v>17</v>
      </c>
      <c r="B573" t="s">
        <v>18</v>
      </c>
      <c r="C573" t="s">
        <v>10</v>
      </c>
      <c r="D573" t="s">
        <v>11</v>
      </c>
      <c r="E573" t="s">
        <v>12</v>
      </c>
      <c r="F573">
        <v>91</v>
      </c>
      <c r="G573">
        <v>96</v>
      </c>
      <c r="H573">
        <v>92</v>
      </c>
    </row>
    <row r="574" spans="1:8" x14ac:dyDescent="0.25">
      <c r="A574" t="s">
        <v>8</v>
      </c>
      <c r="B574" t="s">
        <v>13</v>
      </c>
      <c r="C574" t="s">
        <v>14</v>
      </c>
      <c r="D574" t="s">
        <v>11</v>
      </c>
      <c r="E574" t="s">
        <v>12</v>
      </c>
      <c r="F574">
        <v>53</v>
      </c>
      <c r="G574">
        <v>62</v>
      </c>
      <c r="H574">
        <v>56</v>
      </c>
    </row>
    <row r="575" spans="1:8" x14ac:dyDescent="0.25">
      <c r="A575" t="s">
        <v>8</v>
      </c>
      <c r="B575" t="s">
        <v>13</v>
      </c>
      <c r="C575" t="s">
        <v>22</v>
      </c>
      <c r="D575" t="s">
        <v>20</v>
      </c>
      <c r="E575" t="s">
        <v>15</v>
      </c>
      <c r="F575">
        <v>50</v>
      </c>
      <c r="G575">
        <v>66</v>
      </c>
      <c r="H575">
        <v>64</v>
      </c>
    </row>
    <row r="576" spans="1:8" x14ac:dyDescent="0.25">
      <c r="A576" t="s">
        <v>8</v>
      </c>
      <c r="B576" t="s">
        <v>24</v>
      </c>
      <c r="C576" t="s">
        <v>22</v>
      </c>
      <c r="D576" t="s">
        <v>11</v>
      </c>
      <c r="E576" t="s">
        <v>12</v>
      </c>
      <c r="F576">
        <v>74</v>
      </c>
      <c r="G576">
        <v>81</v>
      </c>
      <c r="H576">
        <v>71</v>
      </c>
    </row>
    <row r="577" spans="1:8" x14ac:dyDescent="0.25">
      <c r="A577" t="s">
        <v>17</v>
      </c>
      <c r="B577" t="s">
        <v>18</v>
      </c>
      <c r="C577" t="s">
        <v>19</v>
      </c>
      <c r="D577" t="s">
        <v>20</v>
      </c>
      <c r="E577" t="s">
        <v>15</v>
      </c>
      <c r="F577">
        <v>40</v>
      </c>
      <c r="G577">
        <v>55</v>
      </c>
      <c r="H577">
        <v>53</v>
      </c>
    </row>
    <row r="578" spans="1:8" x14ac:dyDescent="0.25">
      <c r="A578" t="s">
        <v>17</v>
      </c>
      <c r="B578" t="s">
        <v>18</v>
      </c>
      <c r="C578" t="s">
        <v>14</v>
      </c>
      <c r="D578" t="s">
        <v>11</v>
      </c>
      <c r="E578" t="s">
        <v>15</v>
      </c>
      <c r="F578">
        <v>61</v>
      </c>
      <c r="G578">
        <v>51</v>
      </c>
      <c r="H578">
        <v>52</v>
      </c>
    </row>
    <row r="579" spans="1:8" x14ac:dyDescent="0.25">
      <c r="A579" t="s">
        <v>8</v>
      </c>
      <c r="B579" t="s">
        <v>9</v>
      </c>
      <c r="C579" t="s">
        <v>22</v>
      </c>
      <c r="D579" t="s">
        <v>11</v>
      </c>
      <c r="E579" t="s">
        <v>12</v>
      </c>
      <c r="F579">
        <v>81</v>
      </c>
      <c r="G579">
        <v>91</v>
      </c>
      <c r="H579">
        <v>89</v>
      </c>
    </row>
    <row r="580" spans="1:8" x14ac:dyDescent="0.25">
      <c r="A580" t="s">
        <v>8</v>
      </c>
      <c r="B580" t="s">
        <v>9</v>
      </c>
      <c r="C580" t="s">
        <v>14</v>
      </c>
      <c r="D580" t="s">
        <v>20</v>
      </c>
      <c r="E580" t="s">
        <v>15</v>
      </c>
      <c r="F580">
        <v>48</v>
      </c>
      <c r="G580">
        <v>56</v>
      </c>
      <c r="H580">
        <v>58</v>
      </c>
    </row>
    <row r="581" spans="1:8" x14ac:dyDescent="0.25">
      <c r="A581" t="s">
        <v>8</v>
      </c>
      <c r="B581" t="s">
        <v>21</v>
      </c>
      <c r="C581" t="s">
        <v>16</v>
      </c>
      <c r="D581" t="s">
        <v>11</v>
      </c>
      <c r="E581" t="s">
        <v>12</v>
      </c>
      <c r="F581">
        <v>53</v>
      </c>
      <c r="G581">
        <v>61</v>
      </c>
      <c r="H581">
        <v>68</v>
      </c>
    </row>
    <row r="582" spans="1:8" x14ac:dyDescent="0.25">
      <c r="A582" t="s">
        <v>8</v>
      </c>
      <c r="B582" t="s">
        <v>21</v>
      </c>
      <c r="C582" t="s">
        <v>23</v>
      </c>
      <c r="D582" t="s">
        <v>11</v>
      </c>
      <c r="E582" t="s">
        <v>12</v>
      </c>
      <c r="F582">
        <v>81</v>
      </c>
      <c r="G582">
        <v>97</v>
      </c>
      <c r="H582">
        <v>96</v>
      </c>
    </row>
    <row r="583" spans="1:8" x14ac:dyDescent="0.25">
      <c r="A583" t="s">
        <v>8</v>
      </c>
      <c r="B583" t="s">
        <v>24</v>
      </c>
      <c r="C583" t="s">
        <v>23</v>
      </c>
      <c r="D583" t="s">
        <v>11</v>
      </c>
      <c r="E583" t="s">
        <v>12</v>
      </c>
      <c r="F583">
        <v>77</v>
      </c>
      <c r="G583">
        <v>79</v>
      </c>
      <c r="H583">
        <v>80</v>
      </c>
    </row>
    <row r="584" spans="1:8" x14ac:dyDescent="0.25">
      <c r="A584" t="s">
        <v>8</v>
      </c>
      <c r="B584" t="s">
        <v>21</v>
      </c>
      <c r="C584" t="s">
        <v>10</v>
      </c>
      <c r="D584" t="s">
        <v>20</v>
      </c>
      <c r="E584" t="s">
        <v>12</v>
      </c>
      <c r="F584">
        <v>63</v>
      </c>
      <c r="G584">
        <v>73</v>
      </c>
      <c r="H584">
        <v>78</v>
      </c>
    </row>
    <row r="585" spans="1:8" x14ac:dyDescent="0.25">
      <c r="A585" t="s">
        <v>8</v>
      </c>
      <c r="B585" t="s">
        <v>21</v>
      </c>
      <c r="C585" t="s">
        <v>19</v>
      </c>
      <c r="D585" t="s">
        <v>11</v>
      </c>
      <c r="E585" t="s">
        <v>15</v>
      </c>
      <c r="F585">
        <v>73</v>
      </c>
      <c r="G585">
        <v>75</v>
      </c>
      <c r="H585">
        <v>80</v>
      </c>
    </row>
    <row r="586" spans="1:8" x14ac:dyDescent="0.25">
      <c r="A586" t="s">
        <v>8</v>
      </c>
      <c r="B586" t="s">
        <v>21</v>
      </c>
      <c r="C586" t="s">
        <v>14</v>
      </c>
      <c r="D586" t="s">
        <v>11</v>
      </c>
      <c r="E586" t="s">
        <v>12</v>
      </c>
      <c r="F586">
        <v>69</v>
      </c>
      <c r="G586">
        <v>77</v>
      </c>
      <c r="H586">
        <v>77</v>
      </c>
    </row>
    <row r="587" spans="1:8" x14ac:dyDescent="0.25">
      <c r="A587" t="s">
        <v>8</v>
      </c>
      <c r="B587" t="s">
        <v>13</v>
      </c>
      <c r="C587" t="s">
        <v>19</v>
      </c>
      <c r="D587" t="s">
        <v>11</v>
      </c>
      <c r="E587" t="s">
        <v>12</v>
      </c>
      <c r="F587">
        <v>65</v>
      </c>
      <c r="G587">
        <v>76</v>
      </c>
      <c r="H587">
        <v>76</v>
      </c>
    </row>
    <row r="588" spans="1:8" x14ac:dyDescent="0.25">
      <c r="A588" t="s">
        <v>8</v>
      </c>
      <c r="B588" t="s">
        <v>18</v>
      </c>
      <c r="C588" t="s">
        <v>22</v>
      </c>
      <c r="D588" t="s">
        <v>11</v>
      </c>
      <c r="E588" t="s">
        <v>12</v>
      </c>
      <c r="F588">
        <v>55</v>
      </c>
      <c r="G588">
        <v>73</v>
      </c>
      <c r="H588">
        <v>73</v>
      </c>
    </row>
    <row r="589" spans="1:8" x14ac:dyDescent="0.25">
      <c r="A589" t="s">
        <v>8</v>
      </c>
      <c r="B589" t="s">
        <v>13</v>
      </c>
      <c r="C589" t="s">
        <v>10</v>
      </c>
      <c r="D589" t="s">
        <v>20</v>
      </c>
      <c r="E589" t="s">
        <v>12</v>
      </c>
      <c r="F589">
        <v>44</v>
      </c>
      <c r="G589">
        <v>63</v>
      </c>
      <c r="H589">
        <v>62</v>
      </c>
    </row>
    <row r="590" spans="1:8" x14ac:dyDescent="0.25">
      <c r="A590" t="s">
        <v>8</v>
      </c>
      <c r="B590" t="s">
        <v>13</v>
      </c>
      <c r="C590" t="s">
        <v>14</v>
      </c>
      <c r="D590" t="s">
        <v>11</v>
      </c>
      <c r="E590" t="s">
        <v>12</v>
      </c>
      <c r="F590">
        <v>54</v>
      </c>
      <c r="G590">
        <v>64</v>
      </c>
      <c r="H590">
        <v>65</v>
      </c>
    </row>
    <row r="591" spans="1:8" x14ac:dyDescent="0.25">
      <c r="A591" t="s">
        <v>8</v>
      </c>
      <c r="B591" t="s">
        <v>18</v>
      </c>
      <c r="C591" t="s">
        <v>23</v>
      </c>
      <c r="D591" t="s">
        <v>11</v>
      </c>
      <c r="E591" t="s">
        <v>12</v>
      </c>
      <c r="F591">
        <v>48</v>
      </c>
      <c r="G591">
        <v>66</v>
      </c>
      <c r="H591">
        <v>65</v>
      </c>
    </row>
    <row r="592" spans="1:8" x14ac:dyDescent="0.25">
      <c r="A592" t="s">
        <v>17</v>
      </c>
      <c r="B592" t="s">
        <v>13</v>
      </c>
      <c r="C592" t="s">
        <v>14</v>
      </c>
      <c r="D592" t="s">
        <v>20</v>
      </c>
      <c r="E592" t="s">
        <v>12</v>
      </c>
      <c r="F592">
        <v>58</v>
      </c>
      <c r="G592">
        <v>57</v>
      </c>
      <c r="H592">
        <v>54</v>
      </c>
    </row>
    <row r="593" spans="1:8" x14ac:dyDescent="0.25">
      <c r="A593" t="s">
        <v>17</v>
      </c>
      <c r="B593" t="s">
        <v>18</v>
      </c>
      <c r="C593" t="s">
        <v>23</v>
      </c>
      <c r="D593" t="s">
        <v>11</v>
      </c>
      <c r="E593" t="s">
        <v>12</v>
      </c>
      <c r="F593">
        <v>71</v>
      </c>
      <c r="G593">
        <v>62</v>
      </c>
      <c r="H593">
        <v>50</v>
      </c>
    </row>
    <row r="594" spans="1:8" x14ac:dyDescent="0.25">
      <c r="A594" t="s">
        <v>17</v>
      </c>
      <c r="B594" t="s">
        <v>24</v>
      </c>
      <c r="C594" t="s">
        <v>10</v>
      </c>
      <c r="D594" t="s">
        <v>11</v>
      </c>
      <c r="E594" t="s">
        <v>12</v>
      </c>
      <c r="F594">
        <v>68</v>
      </c>
      <c r="G594">
        <v>68</v>
      </c>
      <c r="H594">
        <v>64</v>
      </c>
    </row>
    <row r="595" spans="1:8" x14ac:dyDescent="0.25">
      <c r="A595" t="s">
        <v>8</v>
      </c>
      <c r="B595" t="s">
        <v>24</v>
      </c>
      <c r="C595" t="s">
        <v>22</v>
      </c>
      <c r="D595" t="s">
        <v>11</v>
      </c>
      <c r="E595" t="s">
        <v>12</v>
      </c>
      <c r="F595">
        <v>74</v>
      </c>
      <c r="G595">
        <v>76</v>
      </c>
      <c r="H595">
        <v>73</v>
      </c>
    </row>
    <row r="596" spans="1:8" x14ac:dyDescent="0.25">
      <c r="A596" t="s">
        <v>8</v>
      </c>
      <c r="B596" t="s">
        <v>13</v>
      </c>
      <c r="C596" t="s">
        <v>10</v>
      </c>
      <c r="D596" t="s">
        <v>11</v>
      </c>
      <c r="E596" t="s">
        <v>15</v>
      </c>
      <c r="F596">
        <v>92</v>
      </c>
      <c r="G596">
        <v>100</v>
      </c>
      <c r="H596">
        <v>99</v>
      </c>
    </row>
    <row r="597" spans="1:8" x14ac:dyDescent="0.25">
      <c r="A597" t="s">
        <v>8</v>
      </c>
      <c r="B597" t="s">
        <v>13</v>
      </c>
      <c r="C597" t="s">
        <v>10</v>
      </c>
      <c r="D597" t="s">
        <v>11</v>
      </c>
      <c r="E597" t="s">
        <v>15</v>
      </c>
      <c r="F597">
        <v>56</v>
      </c>
      <c r="G597">
        <v>79</v>
      </c>
      <c r="H597">
        <v>72</v>
      </c>
    </row>
    <row r="598" spans="1:8" x14ac:dyDescent="0.25">
      <c r="A598" t="s">
        <v>17</v>
      </c>
      <c r="B598" t="s">
        <v>9</v>
      </c>
      <c r="C598" t="s">
        <v>22</v>
      </c>
      <c r="D598" t="s">
        <v>20</v>
      </c>
      <c r="E598" t="s">
        <v>12</v>
      </c>
      <c r="F598">
        <v>30</v>
      </c>
      <c r="G598">
        <v>24</v>
      </c>
      <c r="H598">
        <v>15</v>
      </c>
    </row>
    <row r="599" spans="1:8" x14ac:dyDescent="0.25">
      <c r="A599" t="s">
        <v>17</v>
      </c>
      <c r="B599" t="s">
        <v>18</v>
      </c>
      <c r="C599" t="s">
        <v>23</v>
      </c>
      <c r="D599" t="s">
        <v>11</v>
      </c>
      <c r="E599" t="s">
        <v>12</v>
      </c>
      <c r="F599">
        <v>53</v>
      </c>
      <c r="G599">
        <v>54</v>
      </c>
      <c r="H599">
        <v>48</v>
      </c>
    </row>
    <row r="600" spans="1:8" x14ac:dyDescent="0.25">
      <c r="A600" t="s">
        <v>8</v>
      </c>
      <c r="B600" t="s">
        <v>21</v>
      </c>
      <c r="C600" t="s">
        <v>22</v>
      </c>
      <c r="D600" t="s">
        <v>11</v>
      </c>
      <c r="E600" t="s">
        <v>12</v>
      </c>
      <c r="F600">
        <v>69</v>
      </c>
      <c r="G600">
        <v>77</v>
      </c>
      <c r="H600">
        <v>73</v>
      </c>
    </row>
    <row r="601" spans="1:8" x14ac:dyDescent="0.25">
      <c r="A601" t="s">
        <v>8</v>
      </c>
      <c r="B601" t="s">
        <v>21</v>
      </c>
      <c r="C601" t="s">
        <v>23</v>
      </c>
      <c r="D601" t="s">
        <v>11</v>
      </c>
      <c r="E601" t="s">
        <v>12</v>
      </c>
      <c r="F601">
        <v>65</v>
      </c>
      <c r="G601">
        <v>82</v>
      </c>
      <c r="H601">
        <v>81</v>
      </c>
    </row>
    <row r="602" spans="1:8" x14ac:dyDescent="0.25">
      <c r="A602" t="s">
        <v>8</v>
      </c>
      <c r="B602" t="s">
        <v>21</v>
      </c>
      <c r="C602" t="s">
        <v>16</v>
      </c>
      <c r="D602" t="s">
        <v>11</v>
      </c>
      <c r="E602" t="s">
        <v>12</v>
      </c>
      <c r="F602">
        <v>54</v>
      </c>
      <c r="G602">
        <v>60</v>
      </c>
      <c r="H602">
        <v>63</v>
      </c>
    </row>
    <row r="603" spans="1:8" x14ac:dyDescent="0.25">
      <c r="A603" t="s">
        <v>8</v>
      </c>
      <c r="B603" t="s">
        <v>13</v>
      </c>
      <c r="C603" t="s">
        <v>22</v>
      </c>
      <c r="D603" t="s">
        <v>11</v>
      </c>
      <c r="E603" t="s">
        <v>12</v>
      </c>
      <c r="F603">
        <v>29</v>
      </c>
      <c r="G603">
        <v>29</v>
      </c>
      <c r="H603">
        <v>30</v>
      </c>
    </row>
    <row r="604" spans="1:8" x14ac:dyDescent="0.25">
      <c r="A604" t="s">
        <v>8</v>
      </c>
      <c r="B604" t="s">
        <v>24</v>
      </c>
      <c r="C604" t="s">
        <v>14</v>
      </c>
      <c r="D604" t="s">
        <v>11</v>
      </c>
      <c r="E604" t="s">
        <v>12</v>
      </c>
      <c r="F604">
        <v>76</v>
      </c>
      <c r="G604">
        <v>78</v>
      </c>
      <c r="H604">
        <v>80</v>
      </c>
    </row>
    <row r="605" spans="1:8" x14ac:dyDescent="0.25">
      <c r="A605" t="s">
        <v>17</v>
      </c>
      <c r="B605" t="s">
        <v>21</v>
      </c>
      <c r="C605" t="s">
        <v>22</v>
      </c>
      <c r="D605" t="s">
        <v>20</v>
      </c>
      <c r="E605" t="s">
        <v>12</v>
      </c>
      <c r="F605">
        <v>60</v>
      </c>
      <c r="G605">
        <v>57</v>
      </c>
      <c r="H605">
        <v>51</v>
      </c>
    </row>
    <row r="606" spans="1:8" x14ac:dyDescent="0.25">
      <c r="A606" t="s">
        <v>17</v>
      </c>
      <c r="B606" t="s">
        <v>21</v>
      </c>
      <c r="C606" t="s">
        <v>16</v>
      </c>
      <c r="D606" t="s">
        <v>20</v>
      </c>
      <c r="E606" t="s">
        <v>15</v>
      </c>
      <c r="F606">
        <v>84</v>
      </c>
      <c r="G606">
        <v>89</v>
      </c>
      <c r="H606">
        <v>90</v>
      </c>
    </row>
    <row r="607" spans="1:8" x14ac:dyDescent="0.25">
      <c r="A607" t="s">
        <v>17</v>
      </c>
      <c r="B607" t="s">
        <v>13</v>
      </c>
      <c r="C607" t="s">
        <v>23</v>
      </c>
      <c r="D607" t="s">
        <v>11</v>
      </c>
      <c r="E607" t="s">
        <v>12</v>
      </c>
      <c r="F607">
        <v>75</v>
      </c>
      <c r="G607">
        <v>72</v>
      </c>
      <c r="H607">
        <v>62</v>
      </c>
    </row>
    <row r="608" spans="1:8" x14ac:dyDescent="0.25">
      <c r="A608" t="s">
        <v>8</v>
      </c>
      <c r="B608" t="s">
        <v>13</v>
      </c>
      <c r="C608" t="s">
        <v>19</v>
      </c>
      <c r="D608" t="s">
        <v>11</v>
      </c>
      <c r="E608" t="s">
        <v>12</v>
      </c>
      <c r="F608">
        <v>85</v>
      </c>
      <c r="G608">
        <v>84</v>
      </c>
      <c r="H608">
        <v>82</v>
      </c>
    </row>
    <row r="609" spans="1:8" x14ac:dyDescent="0.25">
      <c r="A609" t="s">
        <v>8</v>
      </c>
      <c r="B609" t="s">
        <v>13</v>
      </c>
      <c r="C609" t="s">
        <v>16</v>
      </c>
      <c r="D609" t="s">
        <v>20</v>
      </c>
      <c r="E609" t="s">
        <v>12</v>
      </c>
      <c r="F609">
        <v>40</v>
      </c>
      <c r="G609">
        <v>58</v>
      </c>
      <c r="H609">
        <v>54</v>
      </c>
    </row>
    <row r="610" spans="1:8" x14ac:dyDescent="0.25">
      <c r="A610" t="s">
        <v>8</v>
      </c>
      <c r="B610" t="s">
        <v>24</v>
      </c>
      <c r="C610" t="s">
        <v>14</v>
      </c>
      <c r="D610" t="s">
        <v>11</v>
      </c>
      <c r="E610" t="s">
        <v>12</v>
      </c>
      <c r="F610">
        <v>61</v>
      </c>
      <c r="G610">
        <v>64</v>
      </c>
      <c r="H610">
        <v>62</v>
      </c>
    </row>
    <row r="611" spans="1:8" x14ac:dyDescent="0.25">
      <c r="A611" t="s">
        <v>8</v>
      </c>
      <c r="B611" t="s">
        <v>9</v>
      </c>
      <c r="C611" t="s">
        <v>19</v>
      </c>
      <c r="D611" t="s">
        <v>11</v>
      </c>
      <c r="E611" t="s">
        <v>12</v>
      </c>
      <c r="F611">
        <v>58</v>
      </c>
      <c r="G611">
        <v>63</v>
      </c>
      <c r="H611">
        <v>65</v>
      </c>
    </row>
    <row r="612" spans="1:8" x14ac:dyDescent="0.25">
      <c r="A612" t="s">
        <v>17</v>
      </c>
      <c r="B612" t="s">
        <v>21</v>
      </c>
      <c r="C612" t="s">
        <v>14</v>
      </c>
      <c r="D612" t="s">
        <v>20</v>
      </c>
      <c r="E612" t="s">
        <v>15</v>
      </c>
      <c r="F612">
        <v>69</v>
      </c>
      <c r="G612">
        <v>60</v>
      </c>
      <c r="H612">
        <v>63</v>
      </c>
    </row>
    <row r="613" spans="1:8" x14ac:dyDescent="0.25">
      <c r="A613" t="s">
        <v>8</v>
      </c>
      <c r="B613" t="s">
        <v>13</v>
      </c>
      <c r="C613" t="s">
        <v>14</v>
      </c>
      <c r="D613" t="s">
        <v>11</v>
      </c>
      <c r="E613" t="s">
        <v>12</v>
      </c>
      <c r="F613">
        <v>58</v>
      </c>
      <c r="G613">
        <v>59</v>
      </c>
      <c r="H613">
        <v>66</v>
      </c>
    </row>
    <row r="614" spans="1:8" x14ac:dyDescent="0.25">
      <c r="A614" t="s">
        <v>17</v>
      </c>
      <c r="B614" t="s">
        <v>13</v>
      </c>
      <c r="C614" t="s">
        <v>10</v>
      </c>
      <c r="D614" t="s">
        <v>11</v>
      </c>
      <c r="E614" t="s">
        <v>15</v>
      </c>
      <c r="F614">
        <v>94</v>
      </c>
      <c r="G614">
        <v>90</v>
      </c>
      <c r="H614">
        <v>91</v>
      </c>
    </row>
    <row r="615" spans="1:8" x14ac:dyDescent="0.25">
      <c r="A615" t="s">
        <v>8</v>
      </c>
      <c r="B615" t="s">
        <v>13</v>
      </c>
      <c r="C615" t="s">
        <v>19</v>
      </c>
      <c r="D615" t="s">
        <v>11</v>
      </c>
      <c r="E615" t="s">
        <v>12</v>
      </c>
      <c r="F615">
        <v>65</v>
      </c>
      <c r="G615">
        <v>77</v>
      </c>
      <c r="H615">
        <v>74</v>
      </c>
    </row>
    <row r="616" spans="1:8" x14ac:dyDescent="0.25">
      <c r="A616" t="s">
        <v>8</v>
      </c>
      <c r="B616" t="s">
        <v>18</v>
      </c>
      <c r="C616" t="s">
        <v>19</v>
      </c>
      <c r="D616" t="s">
        <v>11</v>
      </c>
      <c r="E616" t="s">
        <v>12</v>
      </c>
      <c r="F616">
        <v>82</v>
      </c>
      <c r="G616">
        <v>93</v>
      </c>
      <c r="H616">
        <v>93</v>
      </c>
    </row>
    <row r="617" spans="1:8" x14ac:dyDescent="0.25">
      <c r="A617" t="s">
        <v>8</v>
      </c>
      <c r="B617" t="s">
        <v>13</v>
      </c>
      <c r="C617" t="s">
        <v>22</v>
      </c>
      <c r="D617" t="s">
        <v>11</v>
      </c>
      <c r="E617" t="s">
        <v>12</v>
      </c>
      <c r="F617">
        <v>60</v>
      </c>
      <c r="G617">
        <v>68</v>
      </c>
      <c r="H617">
        <v>72</v>
      </c>
    </row>
    <row r="618" spans="1:8" x14ac:dyDescent="0.25">
      <c r="A618" t="s">
        <v>8</v>
      </c>
      <c r="B618" t="s">
        <v>24</v>
      </c>
      <c r="C618" t="s">
        <v>10</v>
      </c>
      <c r="D618" t="s">
        <v>11</v>
      </c>
      <c r="E618" t="s">
        <v>12</v>
      </c>
      <c r="F618">
        <v>37</v>
      </c>
      <c r="G618">
        <v>45</v>
      </c>
      <c r="H618">
        <v>38</v>
      </c>
    </row>
    <row r="619" spans="1:8" x14ac:dyDescent="0.25">
      <c r="A619" t="s">
        <v>17</v>
      </c>
      <c r="B619" t="s">
        <v>21</v>
      </c>
      <c r="C619" t="s">
        <v>10</v>
      </c>
      <c r="D619" t="s">
        <v>11</v>
      </c>
      <c r="E619" t="s">
        <v>12</v>
      </c>
      <c r="F619">
        <v>88</v>
      </c>
      <c r="G619">
        <v>78</v>
      </c>
      <c r="H619">
        <v>83</v>
      </c>
    </row>
    <row r="620" spans="1:8" x14ac:dyDescent="0.25">
      <c r="A620" t="s">
        <v>17</v>
      </c>
      <c r="B620" t="s">
        <v>21</v>
      </c>
      <c r="C620" t="s">
        <v>16</v>
      </c>
      <c r="D620" t="s">
        <v>11</v>
      </c>
      <c r="E620" t="s">
        <v>12</v>
      </c>
      <c r="F620">
        <v>95</v>
      </c>
      <c r="G620">
        <v>81</v>
      </c>
      <c r="H620">
        <v>84</v>
      </c>
    </row>
    <row r="621" spans="1:8" x14ac:dyDescent="0.25">
      <c r="A621" t="s">
        <v>17</v>
      </c>
      <c r="B621" t="s">
        <v>13</v>
      </c>
      <c r="C621" t="s">
        <v>19</v>
      </c>
      <c r="D621" t="s">
        <v>20</v>
      </c>
      <c r="E621" t="s">
        <v>15</v>
      </c>
      <c r="F621">
        <v>65</v>
      </c>
      <c r="G621">
        <v>73</v>
      </c>
      <c r="H621">
        <v>68</v>
      </c>
    </row>
    <row r="622" spans="1:8" x14ac:dyDescent="0.25">
      <c r="A622" t="s">
        <v>8</v>
      </c>
      <c r="B622" t="s">
        <v>13</v>
      </c>
      <c r="C622" t="s">
        <v>22</v>
      </c>
      <c r="D622" t="s">
        <v>20</v>
      </c>
      <c r="E622" t="s">
        <v>12</v>
      </c>
      <c r="F622">
        <v>35</v>
      </c>
      <c r="G622">
        <v>61</v>
      </c>
      <c r="H622">
        <v>54</v>
      </c>
    </row>
    <row r="623" spans="1:8" x14ac:dyDescent="0.25">
      <c r="A623" t="s">
        <v>17</v>
      </c>
      <c r="B623" t="s">
        <v>9</v>
      </c>
      <c r="C623" t="s">
        <v>10</v>
      </c>
      <c r="D623" t="s">
        <v>20</v>
      </c>
      <c r="E623" t="s">
        <v>12</v>
      </c>
      <c r="F623">
        <v>62</v>
      </c>
      <c r="G623">
        <v>63</v>
      </c>
      <c r="H623">
        <v>56</v>
      </c>
    </row>
    <row r="624" spans="1:8" x14ac:dyDescent="0.25">
      <c r="A624" t="s">
        <v>17</v>
      </c>
      <c r="B624" t="s">
        <v>13</v>
      </c>
      <c r="C624" t="s">
        <v>22</v>
      </c>
      <c r="D624" t="s">
        <v>20</v>
      </c>
      <c r="E624" t="s">
        <v>15</v>
      </c>
      <c r="F624">
        <v>58</v>
      </c>
      <c r="G624">
        <v>51</v>
      </c>
      <c r="H624">
        <v>52</v>
      </c>
    </row>
    <row r="625" spans="1:8" x14ac:dyDescent="0.25">
      <c r="A625" t="s">
        <v>17</v>
      </c>
      <c r="B625" t="s">
        <v>18</v>
      </c>
      <c r="C625" t="s">
        <v>14</v>
      </c>
      <c r="D625" t="s">
        <v>11</v>
      </c>
      <c r="E625" t="s">
        <v>15</v>
      </c>
      <c r="F625">
        <v>100</v>
      </c>
      <c r="G625">
        <v>96</v>
      </c>
      <c r="H625">
        <v>86</v>
      </c>
    </row>
    <row r="626" spans="1:8" x14ac:dyDescent="0.25">
      <c r="A626" t="s">
        <v>8</v>
      </c>
      <c r="B626" t="s">
        <v>24</v>
      </c>
      <c r="C626" t="s">
        <v>10</v>
      </c>
      <c r="D626" t="s">
        <v>20</v>
      </c>
      <c r="E626" t="s">
        <v>12</v>
      </c>
      <c r="F626">
        <v>61</v>
      </c>
      <c r="G626">
        <v>58</v>
      </c>
      <c r="H626">
        <v>62</v>
      </c>
    </row>
    <row r="627" spans="1:8" x14ac:dyDescent="0.25">
      <c r="A627" t="s">
        <v>17</v>
      </c>
      <c r="B627" t="s">
        <v>21</v>
      </c>
      <c r="C627" t="s">
        <v>14</v>
      </c>
      <c r="D627" t="s">
        <v>11</v>
      </c>
      <c r="E627" t="s">
        <v>15</v>
      </c>
      <c r="F627">
        <v>100</v>
      </c>
      <c r="G627">
        <v>97</v>
      </c>
      <c r="H627">
        <v>99</v>
      </c>
    </row>
    <row r="628" spans="1:8" x14ac:dyDescent="0.25">
      <c r="A628" t="s">
        <v>17</v>
      </c>
      <c r="B628" t="s">
        <v>9</v>
      </c>
      <c r="C628" t="s">
        <v>19</v>
      </c>
      <c r="D628" t="s">
        <v>20</v>
      </c>
      <c r="E628" t="s">
        <v>15</v>
      </c>
      <c r="F628">
        <v>69</v>
      </c>
      <c r="G628">
        <v>70</v>
      </c>
      <c r="H628">
        <v>63</v>
      </c>
    </row>
    <row r="629" spans="1:8" x14ac:dyDescent="0.25">
      <c r="A629" t="s">
        <v>17</v>
      </c>
      <c r="B629" t="s">
        <v>21</v>
      </c>
      <c r="C629" t="s">
        <v>19</v>
      </c>
      <c r="D629" t="s">
        <v>11</v>
      </c>
      <c r="E629" t="s">
        <v>12</v>
      </c>
      <c r="F629">
        <v>61</v>
      </c>
      <c r="G629">
        <v>48</v>
      </c>
      <c r="H629">
        <v>46</v>
      </c>
    </row>
    <row r="630" spans="1:8" x14ac:dyDescent="0.25">
      <c r="A630" t="s">
        <v>17</v>
      </c>
      <c r="B630" t="s">
        <v>21</v>
      </c>
      <c r="C630" t="s">
        <v>14</v>
      </c>
      <c r="D630" t="s">
        <v>20</v>
      </c>
      <c r="E630" t="s">
        <v>12</v>
      </c>
      <c r="F630">
        <v>49</v>
      </c>
      <c r="G630">
        <v>57</v>
      </c>
      <c r="H630">
        <v>46</v>
      </c>
    </row>
    <row r="631" spans="1:8" x14ac:dyDescent="0.25">
      <c r="A631" t="s">
        <v>8</v>
      </c>
      <c r="B631" t="s">
        <v>13</v>
      </c>
      <c r="C631" t="s">
        <v>23</v>
      </c>
      <c r="D631" t="s">
        <v>11</v>
      </c>
      <c r="E631" t="s">
        <v>15</v>
      </c>
      <c r="F631">
        <v>44</v>
      </c>
      <c r="G631">
        <v>51</v>
      </c>
      <c r="H631">
        <v>55</v>
      </c>
    </row>
    <row r="632" spans="1:8" x14ac:dyDescent="0.25">
      <c r="A632" t="s">
        <v>17</v>
      </c>
      <c r="B632" t="s">
        <v>21</v>
      </c>
      <c r="C632" t="s">
        <v>14</v>
      </c>
      <c r="D632" t="s">
        <v>11</v>
      </c>
      <c r="E632" t="s">
        <v>12</v>
      </c>
      <c r="F632">
        <v>67</v>
      </c>
      <c r="G632">
        <v>64</v>
      </c>
      <c r="H632">
        <v>70</v>
      </c>
    </row>
    <row r="633" spans="1:8" x14ac:dyDescent="0.25">
      <c r="A633" t="s">
        <v>17</v>
      </c>
      <c r="B633" t="s">
        <v>9</v>
      </c>
      <c r="C633" t="s">
        <v>22</v>
      </c>
      <c r="D633" t="s">
        <v>11</v>
      </c>
      <c r="E633" t="s">
        <v>12</v>
      </c>
      <c r="F633">
        <v>79</v>
      </c>
      <c r="G633">
        <v>60</v>
      </c>
      <c r="H633">
        <v>65</v>
      </c>
    </row>
    <row r="634" spans="1:8" x14ac:dyDescent="0.25">
      <c r="A634" t="s">
        <v>8</v>
      </c>
      <c r="B634" t="s">
        <v>9</v>
      </c>
      <c r="C634" t="s">
        <v>10</v>
      </c>
      <c r="D634" t="s">
        <v>11</v>
      </c>
      <c r="E634" t="s">
        <v>15</v>
      </c>
      <c r="F634">
        <v>66</v>
      </c>
      <c r="G634">
        <v>74</v>
      </c>
      <c r="H634">
        <v>81</v>
      </c>
    </row>
    <row r="635" spans="1:8" x14ac:dyDescent="0.25">
      <c r="A635" t="s">
        <v>8</v>
      </c>
      <c r="B635" t="s">
        <v>13</v>
      </c>
      <c r="C635" t="s">
        <v>22</v>
      </c>
      <c r="D635" t="s">
        <v>11</v>
      </c>
      <c r="E635" t="s">
        <v>12</v>
      </c>
      <c r="F635">
        <v>75</v>
      </c>
      <c r="G635">
        <v>88</v>
      </c>
      <c r="H635">
        <v>85</v>
      </c>
    </row>
    <row r="636" spans="1:8" x14ac:dyDescent="0.25">
      <c r="A636" t="s">
        <v>17</v>
      </c>
      <c r="B636" t="s">
        <v>21</v>
      </c>
      <c r="C636" t="s">
        <v>23</v>
      </c>
      <c r="D636" t="s">
        <v>11</v>
      </c>
      <c r="E636" t="s">
        <v>12</v>
      </c>
      <c r="F636">
        <v>84</v>
      </c>
      <c r="G636">
        <v>84</v>
      </c>
      <c r="H636">
        <v>80</v>
      </c>
    </row>
    <row r="637" spans="1:8" x14ac:dyDescent="0.25">
      <c r="A637" t="s">
        <v>17</v>
      </c>
      <c r="B637" t="s">
        <v>18</v>
      </c>
      <c r="C637" t="s">
        <v>22</v>
      </c>
      <c r="D637" t="s">
        <v>11</v>
      </c>
      <c r="E637" t="s">
        <v>12</v>
      </c>
      <c r="F637">
        <v>71</v>
      </c>
      <c r="G637">
        <v>74</v>
      </c>
      <c r="H637">
        <v>64</v>
      </c>
    </row>
    <row r="638" spans="1:8" x14ac:dyDescent="0.25">
      <c r="A638" t="s">
        <v>8</v>
      </c>
      <c r="B638" t="s">
        <v>9</v>
      </c>
      <c r="C638" t="s">
        <v>22</v>
      </c>
      <c r="D638" t="s">
        <v>20</v>
      </c>
      <c r="E638" t="s">
        <v>15</v>
      </c>
      <c r="F638">
        <v>67</v>
      </c>
      <c r="G638">
        <v>80</v>
      </c>
      <c r="H638">
        <v>81</v>
      </c>
    </row>
    <row r="639" spans="1:8" x14ac:dyDescent="0.25">
      <c r="A639" t="s">
        <v>8</v>
      </c>
      <c r="B639" t="s">
        <v>21</v>
      </c>
      <c r="C639" t="s">
        <v>23</v>
      </c>
      <c r="D639" t="s">
        <v>11</v>
      </c>
      <c r="E639" t="s">
        <v>15</v>
      </c>
      <c r="F639">
        <v>80</v>
      </c>
      <c r="G639">
        <v>92</v>
      </c>
      <c r="H639">
        <v>88</v>
      </c>
    </row>
    <row r="640" spans="1:8" x14ac:dyDescent="0.25">
      <c r="A640" t="s">
        <v>17</v>
      </c>
      <c r="B640" t="s">
        <v>24</v>
      </c>
      <c r="C640" t="s">
        <v>14</v>
      </c>
      <c r="D640" t="s">
        <v>11</v>
      </c>
      <c r="E640" t="s">
        <v>12</v>
      </c>
      <c r="F640">
        <v>86</v>
      </c>
      <c r="G640">
        <v>76</v>
      </c>
      <c r="H640">
        <v>74</v>
      </c>
    </row>
    <row r="641" spans="1:8" x14ac:dyDescent="0.25">
      <c r="A641" t="s">
        <v>8</v>
      </c>
      <c r="B641" t="s">
        <v>21</v>
      </c>
      <c r="C641" t="s">
        <v>19</v>
      </c>
      <c r="D641" t="s">
        <v>11</v>
      </c>
      <c r="E641" t="s">
        <v>12</v>
      </c>
      <c r="F641">
        <v>76</v>
      </c>
      <c r="G641">
        <v>74</v>
      </c>
      <c r="H641">
        <v>73</v>
      </c>
    </row>
    <row r="642" spans="1:8" x14ac:dyDescent="0.25">
      <c r="A642" t="s">
        <v>17</v>
      </c>
      <c r="B642" t="s">
        <v>21</v>
      </c>
      <c r="C642" t="s">
        <v>22</v>
      </c>
      <c r="D642" t="s">
        <v>11</v>
      </c>
      <c r="E642" t="s">
        <v>12</v>
      </c>
      <c r="F642">
        <v>41</v>
      </c>
      <c r="G642">
        <v>52</v>
      </c>
      <c r="H642">
        <v>51</v>
      </c>
    </row>
    <row r="643" spans="1:8" x14ac:dyDescent="0.25">
      <c r="A643" t="s">
        <v>8</v>
      </c>
      <c r="B643" t="s">
        <v>21</v>
      </c>
      <c r="C643" t="s">
        <v>19</v>
      </c>
      <c r="D643" t="s">
        <v>20</v>
      </c>
      <c r="E643" t="s">
        <v>15</v>
      </c>
      <c r="F643">
        <v>74</v>
      </c>
      <c r="G643">
        <v>88</v>
      </c>
      <c r="H643">
        <v>90</v>
      </c>
    </row>
    <row r="644" spans="1:8" x14ac:dyDescent="0.25">
      <c r="A644" t="s">
        <v>8</v>
      </c>
      <c r="B644" t="s">
        <v>9</v>
      </c>
      <c r="C644" t="s">
        <v>23</v>
      </c>
      <c r="D644" t="s">
        <v>20</v>
      </c>
      <c r="E644" t="s">
        <v>12</v>
      </c>
      <c r="F644">
        <v>72</v>
      </c>
      <c r="G644">
        <v>81</v>
      </c>
      <c r="H644">
        <v>79</v>
      </c>
    </row>
    <row r="645" spans="1:8" x14ac:dyDescent="0.25">
      <c r="A645" t="s">
        <v>8</v>
      </c>
      <c r="B645" t="s">
        <v>24</v>
      </c>
      <c r="C645" t="s">
        <v>22</v>
      </c>
      <c r="D645" t="s">
        <v>11</v>
      </c>
      <c r="E645" t="s">
        <v>15</v>
      </c>
      <c r="F645">
        <v>74</v>
      </c>
      <c r="G645">
        <v>79</v>
      </c>
      <c r="H645">
        <v>80</v>
      </c>
    </row>
    <row r="646" spans="1:8" x14ac:dyDescent="0.25">
      <c r="A646" t="s">
        <v>17</v>
      </c>
      <c r="B646" t="s">
        <v>9</v>
      </c>
      <c r="C646" t="s">
        <v>22</v>
      </c>
      <c r="D646" t="s">
        <v>11</v>
      </c>
      <c r="E646" t="s">
        <v>12</v>
      </c>
      <c r="F646">
        <v>70</v>
      </c>
      <c r="G646">
        <v>65</v>
      </c>
      <c r="H646">
        <v>60</v>
      </c>
    </row>
    <row r="647" spans="1:8" x14ac:dyDescent="0.25">
      <c r="A647" t="s">
        <v>8</v>
      </c>
      <c r="B647" t="s">
        <v>9</v>
      </c>
      <c r="C647" t="s">
        <v>10</v>
      </c>
      <c r="D647" t="s">
        <v>11</v>
      </c>
      <c r="E647" t="s">
        <v>15</v>
      </c>
      <c r="F647">
        <v>65</v>
      </c>
      <c r="G647">
        <v>81</v>
      </c>
      <c r="H647">
        <v>81</v>
      </c>
    </row>
    <row r="648" spans="1:8" x14ac:dyDescent="0.25">
      <c r="A648" t="s">
        <v>8</v>
      </c>
      <c r="B648" t="s">
        <v>21</v>
      </c>
      <c r="C648" t="s">
        <v>19</v>
      </c>
      <c r="D648" t="s">
        <v>11</v>
      </c>
      <c r="E648" t="s">
        <v>12</v>
      </c>
      <c r="F648">
        <v>59</v>
      </c>
      <c r="G648">
        <v>70</v>
      </c>
      <c r="H648">
        <v>65</v>
      </c>
    </row>
    <row r="649" spans="1:8" x14ac:dyDescent="0.25">
      <c r="A649" t="s">
        <v>8</v>
      </c>
      <c r="B649" t="s">
        <v>24</v>
      </c>
      <c r="C649" t="s">
        <v>22</v>
      </c>
      <c r="D649" t="s">
        <v>20</v>
      </c>
      <c r="E649" t="s">
        <v>12</v>
      </c>
      <c r="F649">
        <v>64</v>
      </c>
      <c r="G649">
        <v>62</v>
      </c>
      <c r="H649">
        <v>68</v>
      </c>
    </row>
    <row r="650" spans="1:8" x14ac:dyDescent="0.25">
      <c r="A650" t="s">
        <v>8</v>
      </c>
      <c r="B650" t="s">
        <v>9</v>
      </c>
      <c r="C650" t="s">
        <v>22</v>
      </c>
      <c r="D650" t="s">
        <v>11</v>
      </c>
      <c r="E650" t="s">
        <v>12</v>
      </c>
      <c r="F650">
        <v>50</v>
      </c>
      <c r="G650">
        <v>53</v>
      </c>
      <c r="H650">
        <v>55</v>
      </c>
    </row>
    <row r="651" spans="1:8" x14ac:dyDescent="0.25">
      <c r="A651" t="s">
        <v>8</v>
      </c>
      <c r="B651" t="s">
        <v>21</v>
      </c>
      <c r="C651" t="s">
        <v>14</v>
      </c>
      <c r="D651" t="s">
        <v>11</v>
      </c>
      <c r="E651" t="s">
        <v>15</v>
      </c>
      <c r="F651">
        <v>69</v>
      </c>
      <c r="G651">
        <v>79</v>
      </c>
      <c r="H651">
        <v>81</v>
      </c>
    </row>
    <row r="652" spans="1:8" x14ac:dyDescent="0.25">
      <c r="A652" t="s">
        <v>17</v>
      </c>
      <c r="B652" t="s">
        <v>13</v>
      </c>
      <c r="C652" t="s">
        <v>23</v>
      </c>
      <c r="D652" t="s">
        <v>20</v>
      </c>
      <c r="E652" t="s">
        <v>15</v>
      </c>
      <c r="F652">
        <v>51</v>
      </c>
      <c r="G652">
        <v>56</v>
      </c>
      <c r="H652">
        <v>53</v>
      </c>
    </row>
    <row r="653" spans="1:8" x14ac:dyDescent="0.25">
      <c r="A653" t="s">
        <v>8</v>
      </c>
      <c r="B653" t="s">
        <v>18</v>
      </c>
      <c r="C653" t="s">
        <v>22</v>
      </c>
      <c r="D653" t="s">
        <v>11</v>
      </c>
      <c r="E653" t="s">
        <v>15</v>
      </c>
      <c r="F653">
        <v>68</v>
      </c>
      <c r="G653">
        <v>80</v>
      </c>
      <c r="H653">
        <v>76</v>
      </c>
    </row>
    <row r="654" spans="1:8" x14ac:dyDescent="0.25">
      <c r="A654" t="s">
        <v>8</v>
      </c>
      <c r="B654" t="s">
        <v>21</v>
      </c>
      <c r="C654" t="s">
        <v>14</v>
      </c>
      <c r="D654" t="s">
        <v>11</v>
      </c>
      <c r="E654" t="s">
        <v>15</v>
      </c>
      <c r="F654">
        <v>85</v>
      </c>
      <c r="G654">
        <v>86</v>
      </c>
      <c r="H654">
        <v>98</v>
      </c>
    </row>
    <row r="655" spans="1:8" x14ac:dyDescent="0.25">
      <c r="A655" t="s">
        <v>8</v>
      </c>
      <c r="B655" t="s">
        <v>18</v>
      </c>
      <c r="C655" t="s">
        <v>19</v>
      </c>
      <c r="D655" t="s">
        <v>11</v>
      </c>
      <c r="E655" t="s">
        <v>15</v>
      </c>
      <c r="F655">
        <v>65</v>
      </c>
      <c r="G655">
        <v>70</v>
      </c>
      <c r="H655">
        <v>74</v>
      </c>
    </row>
    <row r="656" spans="1:8" x14ac:dyDescent="0.25">
      <c r="A656" t="s">
        <v>8</v>
      </c>
      <c r="B656" t="s">
        <v>9</v>
      </c>
      <c r="C656" t="s">
        <v>23</v>
      </c>
      <c r="D656" t="s">
        <v>11</v>
      </c>
      <c r="E656" t="s">
        <v>12</v>
      </c>
      <c r="F656">
        <v>73</v>
      </c>
      <c r="G656">
        <v>79</v>
      </c>
      <c r="H656">
        <v>79</v>
      </c>
    </row>
    <row r="657" spans="1:8" x14ac:dyDescent="0.25">
      <c r="A657" t="s">
        <v>8</v>
      </c>
      <c r="B657" t="s">
        <v>9</v>
      </c>
      <c r="C657" t="s">
        <v>14</v>
      </c>
      <c r="D657" t="s">
        <v>11</v>
      </c>
      <c r="E657" t="s">
        <v>12</v>
      </c>
      <c r="F657">
        <v>62</v>
      </c>
      <c r="G657">
        <v>67</v>
      </c>
      <c r="H657">
        <v>67</v>
      </c>
    </row>
    <row r="658" spans="1:8" x14ac:dyDescent="0.25">
      <c r="A658" t="s">
        <v>17</v>
      </c>
      <c r="B658" t="s">
        <v>13</v>
      </c>
      <c r="C658" t="s">
        <v>19</v>
      </c>
      <c r="D658" t="s">
        <v>20</v>
      </c>
      <c r="E658" t="s">
        <v>12</v>
      </c>
      <c r="F658">
        <v>77</v>
      </c>
      <c r="G658">
        <v>67</v>
      </c>
      <c r="H658">
        <v>64</v>
      </c>
    </row>
    <row r="659" spans="1:8" x14ac:dyDescent="0.25">
      <c r="A659" t="s">
        <v>17</v>
      </c>
      <c r="B659" t="s">
        <v>21</v>
      </c>
      <c r="C659" t="s">
        <v>23</v>
      </c>
      <c r="D659" t="s">
        <v>11</v>
      </c>
      <c r="E659" t="s">
        <v>12</v>
      </c>
      <c r="F659">
        <v>69</v>
      </c>
      <c r="G659">
        <v>66</v>
      </c>
      <c r="H659">
        <v>61</v>
      </c>
    </row>
    <row r="660" spans="1:8" x14ac:dyDescent="0.25">
      <c r="A660" t="s">
        <v>8</v>
      </c>
      <c r="B660" t="s">
        <v>21</v>
      </c>
      <c r="C660" t="s">
        <v>19</v>
      </c>
      <c r="D660" t="s">
        <v>20</v>
      </c>
      <c r="E660" t="s">
        <v>12</v>
      </c>
      <c r="F660">
        <v>43</v>
      </c>
      <c r="G660">
        <v>60</v>
      </c>
      <c r="H660">
        <v>58</v>
      </c>
    </row>
    <row r="661" spans="1:8" x14ac:dyDescent="0.25">
      <c r="A661" t="s">
        <v>17</v>
      </c>
      <c r="B661" t="s">
        <v>21</v>
      </c>
      <c r="C661" t="s">
        <v>19</v>
      </c>
      <c r="D661" t="s">
        <v>11</v>
      </c>
      <c r="E661" t="s">
        <v>12</v>
      </c>
      <c r="F661">
        <v>90</v>
      </c>
      <c r="G661">
        <v>87</v>
      </c>
      <c r="H661">
        <v>85</v>
      </c>
    </row>
    <row r="662" spans="1:8" x14ac:dyDescent="0.25">
      <c r="A662" t="s">
        <v>17</v>
      </c>
      <c r="B662" t="s">
        <v>13</v>
      </c>
      <c r="C662" t="s">
        <v>14</v>
      </c>
      <c r="D662" t="s">
        <v>20</v>
      </c>
      <c r="E662" t="s">
        <v>12</v>
      </c>
      <c r="F662">
        <v>74</v>
      </c>
      <c r="G662">
        <v>77</v>
      </c>
      <c r="H662">
        <v>73</v>
      </c>
    </row>
    <row r="663" spans="1:8" x14ac:dyDescent="0.25">
      <c r="A663" t="s">
        <v>17</v>
      </c>
      <c r="B663" t="s">
        <v>13</v>
      </c>
      <c r="C663" t="s">
        <v>23</v>
      </c>
      <c r="D663" t="s">
        <v>11</v>
      </c>
      <c r="E663" t="s">
        <v>12</v>
      </c>
      <c r="F663">
        <v>73</v>
      </c>
      <c r="G663">
        <v>66</v>
      </c>
      <c r="H663">
        <v>63</v>
      </c>
    </row>
    <row r="664" spans="1:8" x14ac:dyDescent="0.25">
      <c r="A664" t="s">
        <v>8</v>
      </c>
      <c r="B664" t="s">
        <v>21</v>
      </c>
      <c r="C664" t="s">
        <v>14</v>
      </c>
      <c r="D664" t="s">
        <v>20</v>
      </c>
      <c r="E664" t="s">
        <v>12</v>
      </c>
      <c r="F664">
        <v>55</v>
      </c>
      <c r="G664">
        <v>71</v>
      </c>
      <c r="H664">
        <v>69</v>
      </c>
    </row>
    <row r="665" spans="1:8" x14ac:dyDescent="0.25">
      <c r="A665" t="s">
        <v>8</v>
      </c>
      <c r="B665" t="s">
        <v>13</v>
      </c>
      <c r="C665" t="s">
        <v>22</v>
      </c>
      <c r="D665" t="s">
        <v>11</v>
      </c>
      <c r="E665" t="s">
        <v>12</v>
      </c>
      <c r="F665">
        <v>65</v>
      </c>
      <c r="G665">
        <v>69</v>
      </c>
      <c r="H665">
        <v>67</v>
      </c>
    </row>
    <row r="666" spans="1:8" x14ac:dyDescent="0.25">
      <c r="A666" t="s">
        <v>17</v>
      </c>
      <c r="B666" t="s">
        <v>21</v>
      </c>
      <c r="C666" t="s">
        <v>19</v>
      </c>
      <c r="D666" t="s">
        <v>11</v>
      </c>
      <c r="E666" t="s">
        <v>12</v>
      </c>
      <c r="F666">
        <v>80</v>
      </c>
      <c r="G666">
        <v>63</v>
      </c>
      <c r="H666">
        <v>63</v>
      </c>
    </row>
    <row r="667" spans="1:8" x14ac:dyDescent="0.25">
      <c r="A667" t="s">
        <v>8</v>
      </c>
      <c r="B667" t="s">
        <v>13</v>
      </c>
      <c r="C667" t="s">
        <v>23</v>
      </c>
      <c r="D667" t="s">
        <v>20</v>
      </c>
      <c r="E667" t="s">
        <v>15</v>
      </c>
      <c r="F667">
        <v>50</v>
      </c>
      <c r="G667">
        <v>60</v>
      </c>
      <c r="H667">
        <v>60</v>
      </c>
    </row>
    <row r="668" spans="1:8" x14ac:dyDescent="0.25">
      <c r="A668" t="s">
        <v>8</v>
      </c>
      <c r="B668" t="s">
        <v>13</v>
      </c>
      <c r="C668" t="s">
        <v>14</v>
      </c>
      <c r="D668" t="s">
        <v>20</v>
      </c>
      <c r="E668" t="s">
        <v>15</v>
      </c>
      <c r="F668">
        <v>63</v>
      </c>
      <c r="G668">
        <v>73</v>
      </c>
      <c r="H668">
        <v>71</v>
      </c>
    </row>
    <row r="669" spans="1:8" x14ac:dyDescent="0.25">
      <c r="A669" t="s">
        <v>8</v>
      </c>
      <c r="B669" t="s">
        <v>9</v>
      </c>
      <c r="C669" t="s">
        <v>10</v>
      </c>
      <c r="D669" t="s">
        <v>20</v>
      </c>
      <c r="E669" t="s">
        <v>12</v>
      </c>
      <c r="F669">
        <v>77</v>
      </c>
      <c r="G669">
        <v>85</v>
      </c>
      <c r="H669">
        <v>87</v>
      </c>
    </row>
    <row r="670" spans="1:8" x14ac:dyDescent="0.25">
      <c r="A670" t="s">
        <v>17</v>
      </c>
      <c r="B670" t="s">
        <v>13</v>
      </c>
      <c r="C670" t="s">
        <v>14</v>
      </c>
      <c r="D670" t="s">
        <v>11</v>
      </c>
      <c r="E670" t="s">
        <v>12</v>
      </c>
      <c r="F670">
        <v>73</v>
      </c>
      <c r="G670">
        <v>74</v>
      </c>
      <c r="H670">
        <v>61</v>
      </c>
    </row>
    <row r="671" spans="1:8" x14ac:dyDescent="0.25">
      <c r="A671" t="s">
        <v>17</v>
      </c>
      <c r="B671" t="s">
        <v>21</v>
      </c>
      <c r="C671" t="s">
        <v>19</v>
      </c>
      <c r="D671" t="s">
        <v>11</v>
      </c>
      <c r="E671" t="s">
        <v>15</v>
      </c>
      <c r="F671">
        <v>81</v>
      </c>
      <c r="G671">
        <v>72</v>
      </c>
      <c r="H671">
        <v>77</v>
      </c>
    </row>
    <row r="672" spans="1:8" x14ac:dyDescent="0.25">
      <c r="A672" t="s">
        <v>8</v>
      </c>
      <c r="B672" t="s">
        <v>13</v>
      </c>
      <c r="C672" t="s">
        <v>22</v>
      </c>
      <c r="D672" t="s">
        <v>20</v>
      </c>
      <c r="E672" t="s">
        <v>12</v>
      </c>
      <c r="F672">
        <v>66</v>
      </c>
      <c r="G672">
        <v>76</v>
      </c>
      <c r="H672">
        <v>68</v>
      </c>
    </row>
    <row r="673" spans="1:8" x14ac:dyDescent="0.25">
      <c r="A673" t="s">
        <v>17</v>
      </c>
      <c r="B673" t="s">
        <v>21</v>
      </c>
      <c r="C673" t="s">
        <v>19</v>
      </c>
      <c r="D673" t="s">
        <v>20</v>
      </c>
      <c r="E673" t="s">
        <v>12</v>
      </c>
      <c r="F673">
        <v>52</v>
      </c>
      <c r="G673">
        <v>57</v>
      </c>
      <c r="H673">
        <v>50</v>
      </c>
    </row>
    <row r="674" spans="1:8" x14ac:dyDescent="0.25">
      <c r="A674" t="s">
        <v>8</v>
      </c>
      <c r="B674" t="s">
        <v>13</v>
      </c>
      <c r="C674" t="s">
        <v>14</v>
      </c>
      <c r="D674" t="s">
        <v>11</v>
      </c>
      <c r="E674" t="s">
        <v>12</v>
      </c>
      <c r="F674">
        <v>69</v>
      </c>
      <c r="G674">
        <v>78</v>
      </c>
      <c r="H674">
        <v>76</v>
      </c>
    </row>
    <row r="675" spans="1:8" x14ac:dyDescent="0.25">
      <c r="A675" t="s">
        <v>8</v>
      </c>
      <c r="B675" t="s">
        <v>13</v>
      </c>
      <c r="C675" t="s">
        <v>19</v>
      </c>
      <c r="D675" t="s">
        <v>11</v>
      </c>
      <c r="E675" t="s">
        <v>15</v>
      </c>
      <c r="F675">
        <v>65</v>
      </c>
      <c r="G675">
        <v>84</v>
      </c>
      <c r="H675">
        <v>84</v>
      </c>
    </row>
    <row r="676" spans="1:8" x14ac:dyDescent="0.25">
      <c r="A676" t="s">
        <v>8</v>
      </c>
      <c r="B676" t="s">
        <v>21</v>
      </c>
      <c r="C676" t="s">
        <v>22</v>
      </c>
      <c r="D676" t="s">
        <v>11</v>
      </c>
      <c r="E676" t="s">
        <v>15</v>
      </c>
      <c r="F676">
        <v>69</v>
      </c>
      <c r="G676">
        <v>77</v>
      </c>
      <c r="H676">
        <v>78</v>
      </c>
    </row>
    <row r="677" spans="1:8" x14ac:dyDescent="0.25">
      <c r="A677" t="s">
        <v>8</v>
      </c>
      <c r="B677" t="s">
        <v>9</v>
      </c>
      <c r="C677" t="s">
        <v>14</v>
      </c>
      <c r="D677" t="s">
        <v>11</v>
      </c>
      <c r="E677" t="s">
        <v>15</v>
      </c>
      <c r="F677">
        <v>50</v>
      </c>
      <c r="G677">
        <v>64</v>
      </c>
      <c r="H677">
        <v>66</v>
      </c>
    </row>
    <row r="678" spans="1:8" x14ac:dyDescent="0.25">
      <c r="A678" t="s">
        <v>8</v>
      </c>
      <c r="B678" t="s">
        <v>24</v>
      </c>
      <c r="C678" t="s">
        <v>14</v>
      </c>
      <c r="D678" t="s">
        <v>11</v>
      </c>
      <c r="E678" t="s">
        <v>15</v>
      </c>
      <c r="F678">
        <v>73</v>
      </c>
      <c r="G678">
        <v>78</v>
      </c>
      <c r="H678">
        <v>76</v>
      </c>
    </row>
    <row r="679" spans="1:8" x14ac:dyDescent="0.25">
      <c r="A679" t="s">
        <v>8</v>
      </c>
      <c r="B679" t="s">
        <v>13</v>
      </c>
      <c r="C679" t="s">
        <v>23</v>
      </c>
      <c r="D679" t="s">
        <v>11</v>
      </c>
      <c r="E679" t="s">
        <v>15</v>
      </c>
      <c r="F679">
        <v>70</v>
      </c>
      <c r="G679">
        <v>82</v>
      </c>
      <c r="H679">
        <v>76</v>
      </c>
    </row>
    <row r="680" spans="1:8" x14ac:dyDescent="0.25">
      <c r="A680" t="s">
        <v>17</v>
      </c>
      <c r="B680" t="s">
        <v>21</v>
      </c>
      <c r="C680" t="s">
        <v>19</v>
      </c>
      <c r="D680" t="s">
        <v>20</v>
      </c>
      <c r="E680" t="s">
        <v>12</v>
      </c>
      <c r="F680">
        <v>81</v>
      </c>
      <c r="G680">
        <v>75</v>
      </c>
      <c r="H680">
        <v>78</v>
      </c>
    </row>
    <row r="681" spans="1:8" x14ac:dyDescent="0.25">
      <c r="A681" t="s">
        <v>17</v>
      </c>
      <c r="B681" t="s">
        <v>21</v>
      </c>
      <c r="C681" t="s">
        <v>14</v>
      </c>
      <c r="D681" t="s">
        <v>20</v>
      </c>
      <c r="E681" t="s">
        <v>12</v>
      </c>
      <c r="F681">
        <v>63</v>
      </c>
      <c r="G681">
        <v>61</v>
      </c>
      <c r="H681">
        <v>60</v>
      </c>
    </row>
    <row r="682" spans="1:8" x14ac:dyDescent="0.25">
      <c r="A682" t="s">
        <v>8</v>
      </c>
      <c r="B682" t="s">
        <v>21</v>
      </c>
      <c r="C682" t="s">
        <v>22</v>
      </c>
      <c r="D682" t="s">
        <v>11</v>
      </c>
      <c r="E682" t="s">
        <v>12</v>
      </c>
      <c r="F682">
        <v>67</v>
      </c>
      <c r="G682">
        <v>72</v>
      </c>
      <c r="H682">
        <v>74</v>
      </c>
    </row>
    <row r="683" spans="1:8" x14ac:dyDescent="0.25">
      <c r="A683" t="s">
        <v>17</v>
      </c>
      <c r="B683" t="s">
        <v>9</v>
      </c>
      <c r="C683" t="s">
        <v>22</v>
      </c>
      <c r="D683" t="s">
        <v>11</v>
      </c>
      <c r="E683" t="s">
        <v>12</v>
      </c>
      <c r="F683">
        <v>60</v>
      </c>
      <c r="G683">
        <v>68</v>
      </c>
      <c r="H683">
        <v>60</v>
      </c>
    </row>
    <row r="684" spans="1:8" x14ac:dyDescent="0.25">
      <c r="A684" t="s">
        <v>17</v>
      </c>
      <c r="B684" t="s">
        <v>9</v>
      </c>
      <c r="C684" t="s">
        <v>22</v>
      </c>
      <c r="D684" t="s">
        <v>11</v>
      </c>
      <c r="E684" t="s">
        <v>12</v>
      </c>
      <c r="F684">
        <v>62</v>
      </c>
      <c r="G684">
        <v>55</v>
      </c>
      <c r="H684">
        <v>54</v>
      </c>
    </row>
    <row r="685" spans="1:8" x14ac:dyDescent="0.25">
      <c r="A685" t="s">
        <v>8</v>
      </c>
      <c r="B685" t="s">
        <v>13</v>
      </c>
      <c r="C685" t="s">
        <v>23</v>
      </c>
      <c r="D685" t="s">
        <v>20</v>
      </c>
      <c r="E685" t="s">
        <v>15</v>
      </c>
      <c r="F685">
        <v>29</v>
      </c>
      <c r="G685">
        <v>40</v>
      </c>
      <c r="H685">
        <v>44</v>
      </c>
    </row>
    <row r="686" spans="1:8" x14ac:dyDescent="0.25">
      <c r="A686" t="s">
        <v>17</v>
      </c>
      <c r="B686" t="s">
        <v>9</v>
      </c>
      <c r="C686" t="s">
        <v>14</v>
      </c>
      <c r="D686" t="s">
        <v>11</v>
      </c>
      <c r="E686" t="s">
        <v>15</v>
      </c>
      <c r="F686">
        <v>62</v>
      </c>
      <c r="G686">
        <v>66</v>
      </c>
      <c r="H686">
        <v>68</v>
      </c>
    </row>
    <row r="687" spans="1:8" x14ac:dyDescent="0.25">
      <c r="A687" t="s">
        <v>8</v>
      </c>
      <c r="B687" t="s">
        <v>24</v>
      </c>
      <c r="C687" t="s">
        <v>16</v>
      </c>
      <c r="D687" t="s">
        <v>11</v>
      </c>
      <c r="E687" t="s">
        <v>15</v>
      </c>
      <c r="F687">
        <v>94</v>
      </c>
      <c r="G687">
        <v>99</v>
      </c>
      <c r="H687">
        <v>100</v>
      </c>
    </row>
    <row r="688" spans="1:8" x14ac:dyDescent="0.25">
      <c r="A688" t="s">
        <v>17</v>
      </c>
      <c r="B688" t="s">
        <v>24</v>
      </c>
      <c r="C688" t="s">
        <v>14</v>
      </c>
      <c r="D688" t="s">
        <v>11</v>
      </c>
      <c r="E688" t="s">
        <v>15</v>
      </c>
      <c r="F688">
        <v>85</v>
      </c>
      <c r="G688">
        <v>75</v>
      </c>
      <c r="H688">
        <v>68</v>
      </c>
    </row>
    <row r="689" spans="1:8" x14ac:dyDescent="0.25">
      <c r="A689" t="s">
        <v>17</v>
      </c>
      <c r="B689" t="s">
        <v>21</v>
      </c>
      <c r="C689" t="s">
        <v>19</v>
      </c>
      <c r="D689" t="s">
        <v>20</v>
      </c>
      <c r="E689" t="s">
        <v>12</v>
      </c>
      <c r="F689">
        <v>77</v>
      </c>
      <c r="G689">
        <v>78</v>
      </c>
      <c r="H689">
        <v>73</v>
      </c>
    </row>
    <row r="690" spans="1:8" x14ac:dyDescent="0.25">
      <c r="A690" t="s">
        <v>17</v>
      </c>
      <c r="B690" t="s">
        <v>18</v>
      </c>
      <c r="C690" t="s">
        <v>22</v>
      </c>
      <c r="D690" t="s">
        <v>20</v>
      </c>
      <c r="E690" t="s">
        <v>12</v>
      </c>
      <c r="F690">
        <v>53</v>
      </c>
      <c r="G690">
        <v>58</v>
      </c>
      <c r="H690">
        <v>44</v>
      </c>
    </row>
    <row r="691" spans="1:8" x14ac:dyDescent="0.25">
      <c r="A691" t="s">
        <v>17</v>
      </c>
      <c r="B691" t="s">
        <v>24</v>
      </c>
      <c r="C691" t="s">
        <v>14</v>
      </c>
      <c r="D691" t="s">
        <v>20</v>
      </c>
      <c r="E691" t="s">
        <v>12</v>
      </c>
      <c r="F691">
        <v>93</v>
      </c>
      <c r="G691">
        <v>90</v>
      </c>
      <c r="H691">
        <v>83</v>
      </c>
    </row>
    <row r="692" spans="1:8" x14ac:dyDescent="0.25">
      <c r="A692" t="s">
        <v>8</v>
      </c>
      <c r="B692" t="s">
        <v>13</v>
      </c>
      <c r="C692" t="s">
        <v>19</v>
      </c>
      <c r="D692" t="s">
        <v>11</v>
      </c>
      <c r="E692" t="s">
        <v>12</v>
      </c>
      <c r="F692">
        <v>49</v>
      </c>
      <c r="G692">
        <v>53</v>
      </c>
      <c r="H692">
        <v>53</v>
      </c>
    </row>
    <row r="693" spans="1:8" x14ac:dyDescent="0.25">
      <c r="A693" t="s">
        <v>8</v>
      </c>
      <c r="B693" t="s">
        <v>24</v>
      </c>
      <c r="C693" t="s">
        <v>19</v>
      </c>
      <c r="D693" t="s">
        <v>20</v>
      </c>
      <c r="E693" t="s">
        <v>12</v>
      </c>
      <c r="F693">
        <v>73</v>
      </c>
      <c r="G693">
        <v>76</v>
      </c>
      <c r="H693">
        <v>78</v>
      </c>
    </row>
    <row r="694" spans="1:8" x14ac:dyDescent="0.25">
      <c r="A694" t="s">
        <v>8</v>
      </c>
      <c r="B694" t="s">
        <v>13</v>
      </c>
      <c r="C694" t="s">
        <v>10</v>
      </c>
      <c r="D694" t="s">
        <v>20</v>
      </c>
      <c r="E694" t="s">
        <v>15</v>
      </c>
      <c r="F694">
        <v>66</v>
      </c>
      <c r="G694">
        <v>74</v>
      </c>
      <c r="H694">
        <v>81</v>
      </c>
    </row>
    <row r="695" spans="1:8" x14ac:dyDescent="0.25">
      <c r="A695" t="s">
        <v>8</v>
      </c>
      <c r="B695" t="s">
        <v>21</v>
      </c>
      <c r="C695" t="s">
        <v>19</v>
      </c>
      <c r="D695" t="s">
        <v>11</v>
      </c>
      <c r="E695" t="s">
        <v>12</v>
      </c>
      <c r="F695">
        <v>77</v>
      </c>
      <c r="G695">
        <v>77</v>
      </c>
      <c r="H695">
        <v>73</v>
      </c>
    </row>
    <row r="696" spans="1:8" x14ac:dyDescent="0.25">
      <c r="A696" t="s">
        <v>8</v>
      </c>
      <c r="B696" t="s">
        <v>13</v>
      </c>
      <c r="C696" t="s">
        <v>23</v>
      </c>
      <c r="D696" t="s">
        <v>11</v>
      </c>
      <c r="E696" t="s">
        <v>12</v>
      </c>
      <c r="F696">
        <v>49</v>
      </c>
      <c r="G696">
        <v>63</v>
      </c>
      <c r="H696">
        <v>56</v>
      </c>
    </row>
    <row r="697" spans="1:8" x14ac:dyDescent="0.25">
      <c r="A697" t="s">
        <v>8</v>
      </c>
      <c r="B697" t="s">
        <v>21</v>
      </c>
      <c r="C697" t="s">
        <v>14</v>
      </c>
      <c r="D697" t="s">
        <v>20</v>
      </c>
      <c r="E697" t="s">
        <v>12</v>
      </c>
      <c r="F697">
        <v>79</v>
      </c>
      <c r="G697">
        <v>89</v>
      </c>
      <c r="H697">
        <v>86</v>
      </c>
    </row>
    <row r="698" spans="1:8" x14ac:dyDescent="0.25">
      <c r="A698" t="s">
        <v>8</v>
      </c>
      <c r="B698" t="s">
        <v>13</v>
      </c>
      <c r="C698" t="s">
        <v>19</v>
      </c>
      <c r="D698" t="s">
        <v>11</v>
      </c>
      <c r="E698" t="s">
        <v>15</v>
      </c>
      <c r="F698">
        <v>75</v>
      </c>
      <c r="G698">
        <v>82</v>
      </c>
      <c r="H698">
        <v>90</v>
      </c>
    </row>
    <row r="699" spans="1:8" x14ac:dyDescent="0.25">
      <c r="A699" t="s">
        <v>8</v>
      </c>
      <c r="B699" t="s">
        <v>18</v>
      </c>
      <c r="C699" t="s">
        <v>10</v>
      </c>
      <c r="D699" t="s">
        <v>11</v>
      </c>
      <c r="E699" t="s">
        <v>12</v>
      </c>
      <c r="F699">
        <v>59</v>
      </c>
      <c r="G699">
        <v>72</v>
      </c>
      <c r="H699">
        <v>70</v>
      </c>
    </row>
    <row r="700" spans="1:8" x14ac:dyDescent="0.25">
      <c r="A700" t="s">
        <v>8</v>
      </c>
      <c r="B700" t="s">
        <v>21</v>
      </c>
      <c r="C700" t="s">
        <v>19</v>
      </c>
      <c r="D700" t="s">
        <v>11</v>
      </c>
      <c r="E700" t="s">
        <v>15</v>
      </c>
      <c r="F700">
        <v>57</v>
      </c>
      <c r="G700">
        <v>78</v>
      </c>
      <c r="H700">
        <v>79</v>
      </c>
    </row>
    <row r="701" spans="1:8" x14ac:dyDescent="0.25">
      <c r="A701" t="s">
        <v>17</v>
      </c>
      <c r="B701" t="s">
        <v>13</v>
      </c>
      <c r="C701" t="s">
        <v>22</v>
      </c>
      <c r="D701" t="s">
        <v>20</v>
      </c>
      <c r="E701" t="s">
        <v>12</v>
      </c>
      <c r="F701">
        <v>66</v>
      </c>
      <c r="G701">
        <v>66</v>
      </c>
      <c r="H701">
        <v>59</v>
      </c>
    </row>
    <row r="702" spans="1:8" x14ac:dyDescent="0.25">
      <c r="A702" t="s">
        <v>8</v>
      </c>
      <c r="B702" t="s">
        <v>24</v>
      </c>
      <c r="C702" t="s">
        <v>10</v>
      </c>
      <c r="D702" t="s">
        <v>11</v>
      </c>
      <c r="E702" t="s">
        <v>15</v>
      </c>
      <c r="F702">
        <v>79</v>
      </c>
      <c r="G702">
        <v>81</v>
      </c>
      <c r="H702">
        <v>82</v>
      </c>
    </row>
    <row r="703" spans="1:8" x14ac:dyDescent="0.25">
      <c r="A703" t="s">
        <v>8</v>
      </c>
      <c r="B703" t="s">
        <v>9</v>
      </c>
      <c r="C703" t="s">
        <v>23</v>
      </c>
      <c r="D703" t="s">
        <v>11</v>
      </c>
      <c r="E703" t="s">
        <v>12</v>
      </c>
      <c r="F703">
        <v>57</v>
      </c>
      <c r="G703">
        <v>67</v>
      </c>
      <c r="H703">
        <v>72</v>
      </c>
    </row>
    <row r="704" spans="1:8" x14ac:dyDescent="0.25">
      <c r="A704" t="s">
        <v>17</v>
      </c>
      <c r="B704" t="s">
        <v>18</v>
      </c>
      <c r="C704" t="s">
        <v>10</v>
      </c>
      <c r="D704" t="s">
        <v>11</v>
      </c>
      <c r="E704" t="s">
        <v>15</v>
      </c>
      <c r="F704">
        <v>87</v>
      </c>
      <c r="G704">
        <v>84</v>
      </c>
      <c r="H704">
        <v>87</v>
      </c>
    </row>
    <row r="705" spans="1:8" x14ac:dyDescent="0.25">
      <c r="A705" t="s">
        <v>8</v>
      </c>
      <c r="B705" t="s">
        <v>21</v>
      </c>
      <c r="C705" t="s">
        <v>14</v>
      </c>
      <c r="D705" t="s">
        <v>11</v>
      </c>
      <c r="E705" t="s">
        <v>12</v>
      </c>
      <c r="F705">
        <v>63</v>
      </c>
      <c r="G705">
        <v>64</v>
      </c>
      <c r="H705">
        <v>67</v>
      </c>
    </row>
    <row r="706" spans="1:8" x14ac:dyDescent="0.25">
      <c r="A706" t="s">
        <v>8</v>
      </c>
      <c r="B706" t="s">
        <v>9</v>
      </c>
      <c r="C706" t="s">
        <v>23</v>
      </c>
      <c r="D706" t="s">
        <v>20</v>
      </c>
      <c r="E706" t="s">
        <v>15</v>
      </c>
      <c r="F706">
        <v>59</v>
      </c>
      <c r="G706">
        <v>63</v>
      </c>
      <c r="H706">
        <v>64</v>
      </c>
    </row>
    <row r="707" spans="1:8" x14ac:dyDescent="0.25">
      <c r="A707" t="s">
        <v>17</v>
      </c>
      <c r="B707" t="s">
        <v>18</v>
      </c>
      <c r="C707" t="s">
        <v>10</v>
      </c>
      <c r="D707" t="s">
        <v>20</v>
      </c>
      <c r="E707" t="s">
        <v>12</v>
      </c>
      <c r="F707">
        <v>62</v>
      </c>
      <c r="G707">
        <v>72</v>
      </c>
      <c r="H707">
        <v>65</v>
      </c>
    </row>
    <row r="708" spans="1:8" x14ac:dyDescent="0.25">
      <c r="A708" t="s">
        <v>17</v>
      </c>
      <c r="B708" t="s">
        <v>21</v>
      </c>
      <c r="C708" t="s">
        <v>22</v>
      </c>
      <c r="D708" t="s">
        <v>11</v>
      </c>
      <c r="E708" t="s">
        <v>12</v>
      </c>
      <c r="F708">
        <v>46</v>
      </c>
      <c r="G708">
        <v>34</v>
      </c>
      <c r="H708">
        <v>36</v>
      </c>
    </row>
    <row r="709" spans="1:8" x14ac:dyDescent="0.25">
      <c r="A709" t="s">
        <v>17</v>
      </c>
      <c r="B709" t="s">
        <v>13</v>
      </c>
      <c r="C709" t="s">
        <v>14</v>
      </c>
      <c r="D709" t="s">
        <v>11</v>
      </c>
      <c r="E709" t="s">
        <v>12</v>
      </c>
      <c r="F709">
        <v>66</v>
      </c>
      <c r="G709">
        <v>59</v>
      </c>
      <c r="H709">
        <v>52</v>
      </c>
    </row>
    <row r="710" spans="1:8" x14ac:dyDescent="0.25">
      <c r="A710" t="s">
        <v>17</v>
      </c>
      <c r="B710" t="s">
        <v>21</v>
      </c>
      <c r="C710" t="s">
        <v>22</v>
      </c>
      <c r="D710" t="s">
        <v>11</v>
      </c>
      <c r="E710" t="s">
        <v>12</v>
      </c>
      <c r="F710">
        <v>89</v>
      </c>
      <c r="G710">
        <v>87</v>
      </c>
      <c r="H710">
        <v>79</v>
      </c>
    </row>
    <row r="711" spans="1:8" x14ac:dyDescent="0.25">
      <c r="A711" t="s">
        <v>8</v>
      </c>
      <c r="B711" t="s">
        <v>21</v>
      </c>
      <c r="C711" t="s">
        <v>19</v>
      </c>
      <c r="D711" t="s">
        <v>20</v>
      </c>
      <c r="E711" t="s">
        <v>15</v>
      </c>
      <c r="F711">
        <v>42</v>
      </c>
      <c r="G711">
        <v>61</v>
      </c>
      <c r="H711">
        <v>58</v>
      </c>
    </row>
    <row r="712" spans="1:8" x14ac:dyDescent="0.25">
      <c r="A712" t="s">
        <v>17</v>
      </c>
      <c r="B712" t="s">
        <v>13</v>
      </c>
      <c r="C712" t="s">
        <v>14</v>
      </c>
      <c r="D712" t="s">
        <v>11</v>
      </c>
      <c r="E712" t="s">
        <v>15</v>
      </c>
      <c r="F712">
        <v>93</v>
      </c>
      <c r="G712">
        <v>84</v>
      </c>
      <c r="H712">
        <v>90</v>
      </c>
    </row>
    <row r="713" spans="1:8" x14ac:dyDescent="0.25">
      <c r="A713" t="s">
        <v>8</v>
      </c>
      <c r="B713" t="s">
        <v>24</v>
      </c>
      <c r="C713" t="s">
        <v>23</v>
      </c>
      <c r="D713" t="s">
        <v>11</v>
      </c>
      <c r="E713" t="s">
        <v>15</v>
      </c>
      <c r="F713">
        <v>80</v>
      </c>
      <c r="G713">
        <v>85</v>
      </c>
      <c r="H713">
        <v>85</v>
      </c>
    </row>
    <row r="714" spans="1:8" x14ac:dyDescent="0.25">
      <c r="A714" t="s">
        <v>8</v>
      </c>
      <c r="B714" t="s">
        <v>21</v>
      </c>
      <c r="C714" t="s">
        <v>14</v>
      </c>
      <c r="D714" t="s">
        <v>11</v>
      </c>
      <c r="E714" t="s">
        <v>12</v>
      </c>
      <c r="F714">
        <v>98</v>
      </c>
      <c r="G714">
        <v>100</v>
      </c>
      <c r="H714">
        <v>99</v>
      </c>
    </row>
    <row r="715" spans="1:8" x14ac:dyDescent="0.25">
      <c r="A715" t="s">
        <v>17</v>
      </c>
      <c r="B715" t="s">
        <v>21</v>
      </c>
      <c r="C715" t="s">
        <v>16</v>
      </c>
      <c r="D715" t="s">
        <v>11</v>
      </c>
      <c r="E715" t="s">
        <v>12</v>
      </c>
      <c r="F715">
        <v>81</v>
      </c>
      <c r="G715">
        <v>81</v>
      </c>
      <c r="H715">
        <v>84</v>
      </c>
    </row>
    <row r="716" spans="1:8" x14ac:dyDescent="0.25">
      <c r="A716" t="s">
        <v>8</v>
      </c>
      <c r="B716" t="s">
        <v>9</v>
      </c>
      <c r="C716" t="s">
        <v>23</v>
      </c>
      <c r="D716" t="s">
        <v>11</v>
      </c>
      <c r="E716" t="s">
        <v>15</v>
      </c>
      <c r="F716">
        <v>60</v>
      </c>
      <c r="G716">
        <v>70</v>
      </c>
      <c r="H716">
        <v>74</v>
      </c>
    </row>
    <row r="717" spans="1:8" x14ac:dyDescent="0.25">
      <c r="A717" t="s">
        <v>8</v>
      </c>
      <c r="B717" t="s">
        <v>9</v>
      </c>
      <c r="C717" t="s">
        <v>19</v>
      </c>
      <c r="D717" t="s">
        <v>20</v>
      </c>
      <c r="E717" t="s">
        <v>15</v>
      </c>
      <c r="F717">
        <v>76</v>
      </c>
      <c r="G717">
        <v>94</v>
      </c>
      <c r="H717">
        <v>87</v>
      </c>
    </row>
    <row r="718" spans="1:8" x14ac:dyDescent="0.25">
      <c r="A718" t="s">
        <v>17</v>
      </c>
      <c r="B718" t="s">
        <v>13</v>
      </c>
      <c r="C718" t="s">
        <v>19</v>
      </c>
      <c r="D718" t="s">
        <v>11</v>
      </c>
      <c r="E718" t="s">
        <v>15</v>
      </c>
      <c r="F718">
        <v>73</v>
      </c>
      <c r="G718">
        <v>78</v>
      </c>
      <c r="H718">
        <v>72</v>
      </c>
    </row>
    <row r="719" spans="1:8" x14ac:dyDescent="0.25">
      <c r="A719" t="s">
        <v>8</v>
      </c>
      <c r="B719" t="s">
        <v>13</v>
      </c>
      <c r="C719" t="s">
        <v>19</v>
      </c>
      <c r="D719" t="s">
        <v>11</v>
      </c>
      <c r="E719" t="s">
        <v>15</v>
      </c>
      <c r="F719">
        <v>96</v>
      </c>
      <c r="G719">
        <v>96</v>
      </c>
      <c r="H719">
        <v>99</v>
      </c>
    </row>
    <row r="720" spans="1:8" x14ac:dyDescent="0.25">
      <c r="A720" t="s">
        <v>8</v>
      </c>
      <c r="B720" t="s">
        <v>13</v>
      </c>
      <c r="C720" t="s">
        <v>22</v>
      </c>
      <c r="D720" t="s">
        <v>11</v>
      </c>
      <c r="E720" t="s">
        <v>12</v>
      </c>
      <c r="F720">
        <v>76</v>
      </c>
      <c r="G720">
        <v>76</v>
      </c>
      <c r="H720">
        <v>74</v>
      </c>
    </row>
    <row r="721" spans="1:8" x14ac:dyDescent="0.25">
      <c r="A721" t="s">
        <v>17</v>
      </c>
      <c r="B721" t="s">
        <v>24</v>
      </c>
      <c r="C721" t="s">
        <v>19</v>
      </c>
      <c r="D721" t="s">
        <v>20</v>
      </c>
      <c r="E721" t="s">
        <v>15</v>
      </c>
      <c r="F721">
        <v>91</v>
      </c>
      <c r="G721">
        <v>73</v>
      </c>
      <c r="H721">
        <v>80</v>
      </c>
    </row>
    <row r="722" spans="1:8" x14ac:dyDescent="0.25">
      <c r="A722" t="s">
        <v>8</v>
      </c>
      <c r="B722" t="s">
        <v>13</v>
      </c>
      <c r="C722" t="s">
        <v>14</v>
      </c>
      <c r="D722" t="s">
        <v>20</v>
      </c>
      <c r="E722" t="s">
        <v>12</v>
      </c>
      <c r="F722">
        <v>62</v>
      </c>
      <c r="G722">
        <v>72</v>
      </c>
      <c r="H722">
        <v>70</v>
      </c>
    </row>
    <row r="723" spans="1:8" x14ac:dyDescent="0.25">
      <c r="A723" t="s">
        <v>17</v>
      </c>
      <c r="B723" t="s">
        <v>21</v>
      </c>
      <c r="C723" t="s">
        <v>23</v>
      </c>
      <c r="D723" t="s">
        <v>20</v>
      </c>
      <c r="E723" t="s">
        <v>15</v>
      </c>
      <c r="F723">
        <v>55</v>
      </c>
      <c r="G723">
        <v>59</v>
      </c>
      <c r="H723">
        <v>59</v>
      </c>
    </row>
    <row r="724" spans="1:8" x14ac:dyDescent="0.25">
      <c r="A724" t="s">
        <v>8</v>
      </c>
      <c r="B724" t="s">
        <v>9</v>
      </c>
      <c r="C724" t="s">
        <v>23</v>
      </c>
      <c r="D724" t="s">
        <v>20</v>
      </c>
      <c r="E724" t="s">
        <v>15</v>
      </c>
      <c r="F724">
        <v>74</v>
      </c>
      <c r="G724">
        <v>90</v>
      </c>
      <c r="H724">
        <v>88</v>
      </c>
    </row>
    <row r="725" spans="1:8" x14ac:dyDescent="0.25">
      <c r="A725" t="s">
        <v>17</v>
      </c>
      <c r="B725" t="s">
        <v>13</v>
      </c>
      <c r="C725" t="s">
        <v>22</v>
      </c>
      <c r="D725" t="s">
        <v>11</v>
      </c>
      <c r="E725" t="s">
        <v>12</v>
      </c>
      <c r="F725">
        <v>50</v>
      </c>
      <c r="G725">
        <v>48</v>
      </c>
      <c r="H725">
        <v>42</v>
      </c>
    </row>
    <row r="726" spans="1:8" x14ac:dyDescent="0.25">
      <c r="A726" t="s">
        <v>17</v>
      </c>
      <c r="B726" t="s">
        <v>9</v>
      </c>
      <c r="C726" t="s">
        <v>14</v>
      </c>
      <c r="D726" t="s">
        <v>11</v>
      </c>
      <c r="E726" t="s">
        <v>12</v>
      </c>
      <c r="F726">
        <v>47</v>
      </c>
      <c r="G726">
        <v>43</v>
      </c>
      <c r="H726">
        <v>41</v>
      </c>
    </row>
    <row r="727" spans="1:8" x14ac:dyDescent="0.25">
      <c r="A727" t="s">
        <v>17</v>
      </c>
      <c r="B727" t="s">
        <v>24</v>
      </c>
      <c r="C727" t="s">
        <v>14</v>
      </c>
      <c r="D727" t="s">
        <v>11</v>
      </c>
      <c r="E727" t="s">
        <v>15</v>
      </c>
      <c r="F727">
        <v>81</v>
      </c>
      <c r="G727">
        <v>74</v>
      </c>
      <c r="H727">
        <v>71</v>
      </c>
    </row>
    <row r="728" spans="1:8" x14ac:dyDescent="0.25">
      <c r="A728" t="s">
        <v>8</v>
      </c>
      <c r="B728" t="s">
        <v>24</v>
      </c>
      <c r="C728" t="s">
        <v>19</v>
      </c>
      <c r="D728" t="s">
        <v>11</v>
      </c>
      <c r="E728" t="s">
        <v>15</v>
      </c>
      <c r="F728">
        <v>65</v>
      </c>
      <c r="G728">
        <v>75</v>
      </c>
      <c r="H728">
        <v>77</v>
      </c>
    </row>
    <row r="729" spans="1:8" x14ac:dyDescent="0.25">
      <c r="A729" t="s">
        <v>17</v>
      </c>
      <c r="B729" t="s">
        <v>24</v>
      </c>
      <c r="C729" t="s">
        <v>23</v>
      </c>
      <c r="D729" t="s">
        <v>11</v>
      </c>
      <c r="E729" t="s">
        <v>15</v>
      </c>
      <c r="F729">
        <v>68</v>
      </c>
      <c r="G729">
        <v>51</v>
      </c>
      <c r="H729">
        <v>57</v>
      </c>
    </row>
    <row r="730" spans="1:8" x14ac:dyDescent="0.25">
      <c r="A730" t="s">
        <v>8</v>
      </c>
      <c r="B730" t="s">
        <v>21</v>
      </c>
      <c r="C730" t="s">
        <v>22</v>
      </c>
      <c r="D730" t="s">
        <v>20</v>
      </c>
      <c r="E730" t="s">
        <v>12</v>
      </c>
      <c r="F730">
        <v>73</v>
      </c>
      <c r="G730">
        <v>92</v>
      </c>
      <c r="H730">
        <v>84</v>
      </c>
    </row>
    <row r="731" spans="1:8" x14ac:dyDescent="0.25">
      <c r="A731" t="s">
        <v>17</v>
      </c>
      <c r="B731" t="s">
        <v>13</v>
      </c>
      <c r="C731" t="s">
        <v>14</v>
      </c>
      <c r="D731" t="s">
        <v>11</v>
      </c>
      <c r="E731" t="s">
        <v>12</v>
      </c>
      <c r="F731">
        <v>53</v>
      </c>
      <c r="G731">
        <v>39</v>
      </c>
      <c r="H731">
        <v>37</v>
      </c>
    </row>
    <row r="732" spans="1:8" x14ac:dyDescent="0.25">
      <c r="A732" t="s">
        <v>8</v>
      </c>
      <c r="B732" t="s">
        <v>9</v>
      </c>
      <c r="C732" t="s">
        <v>19</v>
      </c>
      <c r="D732" t="s">
        <v>20</v>
      </c>
      <c r="E732" t="s">
        <v>15</v>
      </c>
      <c r="F732">
        <v>68</v>
      </c>
      <c r="G732">
        <v>77</v>
      </c>
      <c r="H732">
        <v>80</v>
      </c>
    </row>
    <row r="733" spans="1:8" x14ac:dyDescent="0.25">
      <c r="A733" t="s">
        <v>17</v>
      </c>
      <c r="B733" t="s">
        <v>18</v>
      </c>
      <c r="C733" t="s">
        <v>23</v>
      </c>
      <c r="D733" t="s">
        <v>20</v>
      </c>
      <c r="E733" t="s">
        <v>12</v>
      </c>
      <c r="F733">
        <v>55</v>
      </c>
      <c r="G733">
        <v>46</v>
      </c>
      <c r="H733">
        <v>43</v>
      </c>
    </row>
    <row r="734" spans="1:8" x14ac:dyDescent="0.25">
      <c r="A734" t="s">
        <v>8</v>
      </c>
      <c r="B734" t="s">
        <v>13</v>
      </c>
      <c r="C734" t="s">
        <v>14</v>
      </c>
      <c r="D734" t="s">
        <v>11</v>
      </c>
      <c r="E734" t="s">
        <v>15</v>
      </c>
      <c r="F734">
        <v>87</v>
      </c>
      <c r="G734">
        <v>89</v>
      </c>
      <c r="H734">
        <v>94</v>
      </c>
    </row>
    <row r="735" spans="1:8" x14ac:dyDescent="0.25">
      <c r="A735" t="s">
        <v>17</v>
      </c>
      <c r="B735" t="s">
        <v>21</v>
      </c>
      <c r="C735" t="s">
        <v>23</v>
      </c>
      <c r="D735" t="s">
        <v>11</v>
      </c>
      <c r="E735" t="s">
        <v>12</v>
      </c>
      <c r="F735">
        <v>55</v>
      </c>
      <c r="G735">
        <v>47</v>
      </c>
      <c r="H735">
        <v>44</v>
      </c>
    </row>
    <row r="736" spans="1:8" x14ac:dyDescent="0.25">
      <c r="A736" t="s">
        <v>8</v>
      </c>
      <c r="B736" t="s">
        <v>24</v>
      </c>
      <c r="C736" t="s">
        <v>14</v>
      </c>
      <c r="D736" t="s">
        <v>20</v>
      </c>
      <c r="E736" t="s">
        <v>12</v>
      </c>
      <c r="F736">
        <v>53</v>
      </c>
      <c r="G736">
        <v>58</v>
      </c>
      <c r="H736">
        <v>57</v>
      </c>
    </row>
    <row r="737" spans="1:8" x14ac:dyDescent="0.25">
      <c r="A737" t="s">
        <v>17</v>
      </c>
      <c r="B737" t="s">
        <v>13</v>
      </c>
      <c r="C737" t="s">
        <v>16</v>
      </c>
      <c r="D737" t="s">
        <v>11</v>
      </c>
      <c r="E737" t="s">
        <v>12</v>
      </c>
      <c r="F737">
        <v>67</v>
      </c>
      <c r="G737">
        <v>57</v>
      </c>
      <c r="H737">
        <v>59</v>
      </c>
    </row>
    <row r="738" spans="1:8" x14ac:dyDescent="0.25">
      <c r="A738" t="s">
        <v>17</v>
      </c>
      <c r="B738" t="s">
        <v>13</v>
      </c>
      <c r="C738" t="s">
        <v>19</v>
      </c>
      <c r="D738" t="s">
        <v>11</v>
      </c>
      <c r="E738" t="s">
        <v>12</v>
      </c>
      <c r="F738">
        <v>92</v>
      </c>
      <c r="G738">
        <v>79</v>
      </c>
      <c r="H738">
        <v>84</v>
      </c>
    </row>
    <row r="739" spans="1:8" x14ac:dyDescent="0.25">
      <c r="A739" t="s">
        <v>8</v>
      </c>
      <c r="B739" t="s">
        <v>9</v>
      </c>
      <c r="C739" t="s">
        <v>14</v>
      </c>
      <c r="D739" t="s">
        <v>20</v>
      </c>
      <c r="E739" t="s">
        <v>15</v>
      </c>
      <c r="F739">
        <v>53</v>
      </c>
      <c r="G739">
        <v>66</v>
      </c>
      <c r="H739">
        <v>73</v>
      </c>
    </row>
    <row r="740" spans="1:8" x14ac:dyDescent="0.25">
      <c r="A740" t="s">
        <v>17</v>
      </c>
      <c r="B740" t="s">
        <v>21</v>
      </c>
      <c r="C740" t="s">
        <v>19</v>
      </c>
      <c r="D740" t="s">
        <v>11</v>
      </c>
      <c r="E740" t="s">
        <v>12</v>
      </c>
      <c r="F740">
        <v>81</v>
      </c>
      <c r="G740">
        <v>71</v>
      </c>
      <c r="H740">
        <v>73</v>
      </c>
    </row>
    <row r="741" spans="1:8" x14ac:dyDescent="0.25">
      <c r="A741" t="s">
        <v>17</v>
      </c>
      <c r="B741" t="s">
        <v>13</v>
      </c>
      <c r="C741" t="s">
        <v>22</v>
      </c>
      <c r="D741" t="s">
        <v>20</v>
      </c>
      <c r="E741" t="s">
        <v>12</v>
      </c>
      <c r="F741">
        <v>61</v>
      </c>
      <c r="G741">
        <v>60</v>
      </c>
      <c r="H741">
        <v>55</v>
      </c>
    </row>
    <row r="742" spans="1:8" x14ac:dyDescent="0.25">
      <c r="A742" t="s">
        <v>17</v>
      </c>
      <c r="B742" t="s">
        <v>21</v>
      </c>
      <c r="C742" t="s">
        <v>10</v>
      </c>
      <c r="D742" t="s">
        <v>11</v>
      </c>
      <c r="E742" t="s">
        <v>12</v>
      </c>
      <c r="F742">
        <v>80</v>
      </c>
      <c r="G742">
        <v>73</v>
      </c>
      <c r="H742">
        <v>72</v>
      </c>
    </row>
    <row r="743" spans="1:8" x14ac:dyDescent="0.25">
      <c r="A743" t="s">
        <v>8</v>
      </c>
      <c r="B743" t="s">
        <v>18</v>
      </c>
      <c r="C743" t="s">
        <v>19</v>
      </c>
      <c r="D743" t="s">
        <v>20</v>
      </c>
      <c r="E743" t="s">
        <v>12</v>
      </c>
      <c r="F743">
        <v>37</v>
      </c>
      <c r="G743">
        <v>57</v>
      </c>
      <c r="H743">
        <v>56</v>
      </c>
    </row>
    <row r="744" spans="1:8" x14ac:dyDescent="0.25">
      <c r="A744" t="s">
        <v>8</v>
      </c>
      <c r="B744" t="s">
        <v>13</v>
      </c>
      <c r="C744" t="s">
        <v>22</v>
      </c>
      <c r="D744" t="s">
        <v>11</v>
      </c>
      <c r="E744" t="s">
        <v>12</v>
      </c>
      <c r="F744">
        <v>81</v>
      </c>
      <c r="G744">
        <v>84</v>
      </c>
      <c r="H744">
        <v>82</v>
      </c>
    </row>
    <row r="745" spans="1:8" x14ac:dyDescent="0.25">
      <c r="A745" t="s">
        <v>8</v>
      </c>
      <c r="B745" t="s">
        <v>13</v>
      </c>
      <c r="C745" t="s">
        <v>19</v>
      </c>
      <c r="D745" t="s">
        <v>11</v>
      </c>
      <c r="E745" t="s">
        <v>15</v>
      </c>
      <c r="F745">
        <v>59</v>
      </c>
      <c r="G745">
        <v>73</v>
      </c>
      <c r="H745">
        <v>72</v>
      </c>
    </row>
    <row r="746" spans="1:8" x14ac:dyDescent="0.25">
      <c r="A746" t="s">
        <v>17</v>
      </c>
      <c r="B746" t="s">
        <v>9</v>
      </c>
      <c r="C746" t="s">
        <v>14</v>
      </c>
      <c r="D746" t="s">
        <v>20</v>
      </c>
      <c r="E746" t="s">
        <v>12</v>
      </c>
      <c r="F746">
        <v>55</v>
      </c>
      <c r="G746">
        <v>55</v>
      </c>
      <c r="H746">
        <v>47</v>
      </c>
    </row>
    <row r="747" spans="1:8" x14ac:dyDescent="0.25">
      <c r="A747" t="s">
        <v>17</v>
      </c>
      <c r="B747" t="s">
        <v>21</v>
      </c>
      <c r="C747" t="s">
        <v>19</v>
      </c>
      <c r="D747" t="s">
        <v>11</v>
      </c>
      <c r="E747" t="s">
        <v>12</v>
      </c>
      <c r="F747">
        <v>72</v>
      </c>
      <c r="G747">
        <v>79</v>
      </c>
      <c r="H747">
        <v>74</v>
      </c>
    </row>
    <row r="748" spans="1:8" x14ac:dyDescent="0.25">
      <c r="A748" t="s">
        <v>17</v>
      </c>
      <c r="B748" t="s">
        <v>21</v>
      </c>
      <c r="C748" t="s">
        <v>22</v>
      </c>
      <c r="D748" t="s">
        <v>11</v>
      </c>
      <c r="E748" t="s">
        <v>12</v>
      </c>
      <c r="F748">
        <v>69</v>
      </c>
      <c r="G748">
        <v>75</v>
      </c>
      <c r="H748">
        <v>71</v>
      </c>
    </row>
    <row r="749" spans="1:8" x14ac:dyDescent="0.25">
      <c r="A749" t="s">
        <v>17</v>
      </c>
      <c r="B749" t="s">
        <v>13</v>
      </c>
      <c r="C749" t="s">
        <v>14</v>
      </c>
      <c r="D749" t="s">
        <v>11</v>
      </c>
      <c r="E749" t="s">
        <v>12</v>
      </c>
      <c r="F749">
        <v>69</v>
      </c>
      <c r="G749">
        <v>64</v>
      </c>
      <c r="H749">
        <v>68</v>
      </c>
    </row>
    <row r="750" spans="1:8" x14ac:dyDescent="0.25">
      <c r="A750" t="s">
        <v>8</v>
      </c>
      <c r="B750" t="s">
        <v>13</v>
      </c>
      <c r="C750" t="s">
        <v>10</v>
      </c>
      <c r="D750" t="s">
        <v>20</v>
      </c>
      <c r="E750" t="s">
        <v>12</v>
      </c>
      <c r="F750">
        <v>50</v>
      </c>
      <c r="G750">
        <v>60</v>
      </c>
      <c r="H750">
        <v>59</v>
      </c>
    </row>
    <row r="751" spans="1:8" x14ac:dyDescent="0.25">
      <c r="A751" t="s">
        <v>17</v>
      </c>
      <c r="B751" t="s">
        <v>9</v>
      </c>
      <c r="C751" t="s">
        <v>14</v>
      </c>
      <c r="D751" t="s">
        <v>11</v>
      </c>
      <c r="E751" t="s">
        <v>15</v>
      </c>
      <c r="F751">
        <v>87</v>
      </c>
      <c r="G751">
        <v>84</v>
      </c>
      <c r="H751">
        <v>86</v>
      </c>
    </row>
    <row r="752" spans="1:8" x14ac:dyDescent="0.25">
      <c r="A752" t="s">
        <v>17</v>
      </c>
      <c r="B752" t="s">
        <v>21</v>
      </c>
      <c r="C752" t="s">
        <v>23</v>
      </c>
      <c r="D752" t="s">
        <v>11</v>
      </c>
      <c r="E752" t="s">
        <v>15</v>
      </c>
      <c r="F752">
        <v>71</v>
      </c>
      <c r="G752">
        <v>69</v>
      </c>
      <c r="H752">
        <v>68</v>
      </c>
    </row>
    <row r="753" spans="1:8" x14ac:dyDescent="0.25">
      <c r="A753" t="s">
        <v>17</v>
      </c>
      <c r="B753" t="s">
        <v>24</v>
      </c>
      <c r="C753" t="s">
        <v>14</v>
      </c>
      <c r="D753" t="s">
        <v>11</v>
      </c>
      <c r="E753" t="s">
        <v>12</v>
      </c>
      <c r="F753">
        <v>68</v>
      </c>
      <c r="G753">
        <v>72</v>
      </c>
      <c r="H753">
        <v>65</v>
      </c>
    </row>
    <row r="754" spans="1:8" x14ac:dyDescent="0.25">
      <c r="A754" t="s">
        <v>17</v>
      </c>
      <c r="B754" t="s">
        <v>13</v>
      </c>
      <c r="C754" t="s">
        <v>16</v>
      </c>
      <c r="D754" t="s">
        <v>20</v>
      </c>
      <c r="E754" t="s">
        <v>15</v>
      </c>
      <c r="F754">
        <v>79</v>
      </c>
      <c r="G754">
        <v>77</v>
      </c>
      <c r="H754">
        <v>75</v>
      </c>
    </row>
    <row r="755" spans="1:8" x14ac:dyDescent="0.25">
      <c r="A755" t="s">
        <v>8</v>
      </c>
      <c r="B755" t="s">
        <v>13</v>
      </c>
      <c r="C755" t="s">
        <v>23</v>
      </c>
      <c r="D755" t="s">
        <v>11</v>
      </c>
      <c r="E755" t="s">
        <v>15</v>
      </c>
      <c r="F755">
        <v>77</v>
      </c>
      <c r="G755">
        <v>90</v>
      </c>
      <c r="H755">
        <v>85</v>
      </c>
    </row>
    <row r="756" spans="1:8" x14ac:dyDescent="0.25">
      <c r="A756" t="s">
        <v>17</v>
      </c>
      <c r="B756" t="s">
        <v>13</v>
      </c>
      <c r="C756" t="s">
        <v>19</v>
      </c>
      <c r="D756" t="s">
        <v>20</v>
      </c>
      <c r="E756" t="s">
        <v>12</v>
      </c>
      <c r="F756">
        <v>58</v>
      </c>
      <c r="G756">
        <v>55</v>
      </c>
      <c r="H756">
        <v>53</v>
      </c>
    </row>
    <row r="757" spans="1:8" x14ac:dyDescent="0.25">
      <c r="A757" t="s">
        <v>8</v>
      </c>
      <c r="B757" t="s">
        <v>24</v>
      </c>
      <c r="C757" t="s">
        <v>19</v>
      </c>
      <c r="D757" t="s">
        <v>11</v>
      </c>
      <c r="E757" t="s">
        <v>12</v>
      </c>
      <c r="F757">
        <v>84</v>
      </c>
      <c r="G757">
        <v>95</v>
      </c>
      <c r="H757">
        <v>92</v>
      </c>
    </row>
    <row r="758" spans="1:8" x14ac:dyDescent="0.25">
      <c r="A758" t="s">
        <v>17</v>
      </c>
      <c r="B758" t="s">
        <v>21</v>
      </c>
      <c r="C758" t="s">
        <v>14</v>
      </c>
      <c r="D758" t="s">
        <v>11</v>
      </c>
      <c r="E758" t="s">
        <v>12</v>
      </c>
      <c r="F758">
        <v>55</v>
      </c>
      <c r="G758">
        <v>58</v>
      </c>
      <c r="H758">
        <v>52</v>
      </c>
    </row>
    <row r="759" spans="1:8" x14ac:dyDescent="0.25">
      <c r="A759" t="s">
        <v>17</v>
      </c>
      <c r="B759" t="s">
        <v>24</v>
      </c>
      <c r="C759" t="s">
        <v>10</v>
      </c>
      <c r="D759" t="s">
        <v>20</v>
      </c>
      <c r="E759" t="s">
        <v>15</v>
      </c>
      <c r="F759">
        <v>70</v>
      </c>
      <c r="G759">
        <v>68</v>
      </c>
      <c r="H759">
        <v>72</v>
      </c>
    </row>
    <row r="760" spans="1:8" x14ac:dyDescent="0.25">
      <c r="A760" t="s">
        <v>8</v>
      </c>
      <c r="B760" t="s">
        <v>21</v>
      </c>
      <c r="C760" t="s">
        <v>14</v>
      </c>
      <c r="D760" t="s">
        <v>20</v>
      </c>
      <c r="E760" t="s">
        <v>15</v>
      </c>
      <c r="F760">
        <v>52</v>
      </c>
      <c r="G760">
        <v>59</v>
      </c>
      <c r="H760">
        <v>65</v>
      </c>
    </row>
    <row r="761" spans="1:8" x14ac:dyDescent="0.25">
      <c r="A761" t="s">
        <v>17</v>
      </c>
      <c r="B761" t="s">
        <v>9</v>
      </c>
      <c r="C761" t="s">
        <v>14</v>
      </c>
      <c r="D761" t="s">
        <v>11</v>
      </c>
      <c r="E761" t="s">
        <v>15</v>
      </c>
      <c r="F761">
        <v>69</v>
      </c>
      <c r="G761">
        <v>77</v>
      </c>
      <c r="H761">
        <v>77</v>
      </c>
    </row>
    <row r="762" spans="1:8" x14ac:dyDescent="0.25">
      <c r="A762" t="s">
        <v>8</v>
      </c>
      <c r="B762" t="s">
        <v>13</v>
      </c>
      <c r="C762" t="s">
        <v>22</v>
      </c>
      <c r="D762" t="s">
        <v>20</v>
      </c>
      <c r="E762" t="s">
        <v>12</v>
      </c>
      <c r="F762">
        <v>53</v>
      </c>
      <c r="G762">
        <v>72</v>
      </c>
      <c r="H762">
        <v>64</v>
      </c>
    </row>
    <row r="763" spans="1:8" x14ac:dyDescent="0.25">
      <c r="A763" t="s">
        <v>8</v>
      </c>
      <c r="B763" t="s">
        <v>21</v>
      </c>
      <c r="C763" t="s">
        <v>23</v>
      </c>
      <c r="D763" t="s">
        <v>11</v>
      </c>
      <c r="E763" t="s">
        <v>12</v>
      </c>
      <c r="F763">
        <v>48</v>
      </c>
      <c r="G763">
        <v>58</v>
      </c>
      <c r="H763">
        <v>54</v>
      </c>
    </row>
    <row r="764" spans="1:8" x14ac:dyDescent="0.25">
      <c r="A764" t="s">
        <v>17</v>
      </c>
      <c r="B764" t="s">
        <v>21</v>
      </c>
      <c r="C764" t="s">
        <v>23</v>
      </c>
      <c r="D764" t="s">
        <v>11</v>
      </c>
      <c r="E764" t="s">
        <v>15</v>
      </c>
      <c r="F764">
        <v>78</v>
      </c>
      <c r="G764">
        <v>81</v>
      </c>
      <c r="H764">
        <v>86</v>
      </c>
    </row>
    <row r="765" spans="1:8" x14ac:dyDescent="0.25">
      <c r="A765" t="s">
        <v>8</v>
      </c>
      <c r="B765" t="s">
        <v>9</v>
      </c>
      <c r="C765" t="s">
        <v>22</v>
      </c>
      <c r="D765" t="s">
        <v>11</v>
      </c>
      <c r="E765" t="s">
        <v>12</v>
      </c>
      <c r="F765">
        <v>62</v>
      </c>
      <c r="G765">
        <v>62</v>
      </c>
      <c r="H765">
        <v>63</v>
      </c>
    </row>
    <row r="766" spans="1:8" x14ac:dyDescent="0.25">
      <c r="A766" t="s">
        <v>17</v>
      </c>
      <c r="B766" t="s">
        <v>21</v>
      </c>
      <c r="C766" t="s">
        <v>14</v>
      </c>
      <c r="D766" t="s">
        <v>11</v>
      </c>
      <c r="E766" t="s">
        <v>12</v>
      </c>
      <c r="F766">
        <v>60</v>
      </c>
      <c r="G766">
        <v>63</v>
      </c>
      <c r="H766">
        <v>59</v>
      </c>
    </row>
    <row r="767" spans="1:8" x14ac:dyDescent="0.25">
      <c r="A767" t="s">
        <v>8</v>
      </c>
      <c r="B767" t="s">
        <v>9</v>
      </c>
      <c r="C767" t="s">
        <v>22</v>
      </c>
      <c r="D767" t="s">
        <v>11</v>
      </c>
      <c r="E767" t="s">
        <v>12</v>
      </c>
      <c r="F767">
        <v>74</v>
      </c>
      <c r="G767">
        <v>72</v>
      </c>
      <c r="H767">
        <v>72</v>
      </c>
    </row>
    <row r="768" spans="1:8" x14ac:dyDescent="0.25">
      <c r="A768" t="s">
        <v>8</v>
      </c>
      <c r="B768" t="s">
        <v>13</v>
      </c>
      <c r="C768" t="s">
        <v>22</v>
      </c>
      <c r="D768" t="s">
        <v>11</v>
      </c>
      <c r="E768" t="s">
        <v>15</v>
      </c>
      <c r="F768">
        <v>58</v>
      </c>
      <c r="G768">
        <v>75</v>
      </c>
      <c r="H768">
        <v>77</v>
      </c>
    </row>
    <row r="769" spans="1:8" x14ac:dyDescent="0.25">
      <c r="A769" t="s">
        <v>17</v>
      </c>
      <c r="B769" t="s">
        <v>9</v>
      </c>
      <c r="C769" t="s">
        <v>22</v>
      </c>
      <c r="D769" t="s">
        <v>11</v>
      </c>
      <c r="E769" t="s">
        <v>15</v>
      </c>
      <c r="F769">
        <v>76</v>
      </c>
      <c r="G769">
        <v>62</v>
      </c>
      <c r="H769">
        <v>60</v>
      </c>
    </row>
    <row r="770" spans="1:8" x14ac:dyDescent="0.25">
      <c r="A770" t="s">
        <v>8</v>
      </c>
      <c r="B770" t="s">
        <v>21</v>
      </c>
      <c r="C770" t="s">
        <v>23</v>
      </c>
      <c r="D770" t="s">
        <v>11</v>
      </c>
      <c r="E770" t="s">
        <v>12</v>
      </c>
      <c r="F770">
        <v>68</v>
      </c>
      <c r="G770">
        <v>71</v>
      </c>
      <c r="H770">
        <v>75</v>
      </c>
    </row>
    <row r="771" spans="1:8" x14ac:dyDescent="0.25">
      <c r="A771" t="s">
        <v>17</v>
      </c>
      <c r="B771" t="s">
        <v>18</v>
      </c>
      <c r="C771" t="s">
        <v>14</v>
      </c>
      <c r="D771" t="s">
        <v>20</v>
      </c>
      <c r="E771" t="s">
        <v>12</v>
      </c>
      <c r="F771">
        <v>58</v>
      </c>
      <c r="G771">
        <v>60</v>
      </c>
      <c r="H771">
        <v>57</v>
      </c>
    </row>
    <row r="772" spans="1:8" x14ac:dyDescent="0.25">
      <c r="A772" t="s">
        <v>17</v>
      </c>
      <c r="B772" t="s">
        <v>9</v>
      </c>
      <c r="C772" t="s">
        <v>22</v>
      </c>
      <c r="D772" t="s">
        <v>11</v>
      </c>
      <c r="E772" t="s">
        <v>12</v>
      </c>
      <c r="F772">
        <v>52</v>
      </c>
      <c r="G772">
        <v>48</v>
      </c>
      <c r="H772">
        <v>49</v>
      </c>
    </row>
    <row r="773" spans="1:8" x14ac:dyDescent="0.25">
      <c r="A773" t="s">
        <v>17</v>
      </c>
      <c r="B773" t="s">
        <v>21</v>
      </c>
      <c r="C773" t="s">
        <v>10</v>
      </c>
      <c r="D773" t="s">
        <v>11</v>
      </c>
      <c r="E773" t="s">
        <v>12</v>
      </c>
      <c r="F773">
        <v>75</v>
      </c>
      <c r="G773">
        <v>73</v>
      </c>
      <c r="H773">
        <v>74</v>
      </c>
    </row>
    <row r="774" spans="1:8" x14ac:dyDescent="0.25">
      <c r="A774" t="s">
        <v>8</v>
      </c>
      <c r="B774" t="s">
        <v>9</v>
      </c>
      <c r="C774" t="s">
        <v>23</v>
      </c>
      <c r="D774" t="s">
        <v>20</v>
      </c>
      <c r="E774" t="s">
        <v>15</v>
      </c>
      <c r="F774">
        <v>52</v>
      </c>
      <c r="G774">
        <v>67</v>
      </c>
      <c r="H774">
        <v>72</v>
      </c>
    </row>
    <row r="775" spans="1:8" x14ac:dyDescent="0.25">
      <c r="A775" t="s">
        <v>8</v>
      </c>
      <c r="B775" t="s">
        <v>13</v>
      </c>
      <c r="C775" t="s">
        <v>10</v>
      </c>
      <c r="D775" t="s">
        <v>20</v>
      </c>
      <c r="E775" t="s">
        <v>12</v>
      </c>
      <c r="F775">
        <v>62</v>
      </c>
      <c r="G775">
        <v>78</v>
      </c>
      <c r="H775">
        <v>79</v>
      </c>
    </row>
    <row r="776" spans="1:8" x14ac:dyDescent="0.25">
      <c r="A776" t="s">
        <v>17</v>
      </c>
      <c r="B776" t="s">
        <v>9</v>
      </c>
      <c r="C776" t="s">
        <v>14</v>
      </c>
      <c r="D776" t="s">
        <v>11</v>
      </c>
      <c r="E776" t="s">
        <v>12</v>
      </c>
      <c r="F776">
        <v>66</v>
      </c>
      <c r="G776">
        <v>65</v>
      </c>
      <c r="H776">
        <v>60</v>
      </c>
    </row>
    <row r="777" spans="1:8" x14ac:dyDescent="0.25">
      <c r="A777" t="s">
        <v>8</v>
      </c>
      <c r="B777" t="s">
        <v>9</v>
      </c>
      <c r="C777" t="s">
        <v>23</v>
      </c>
      <c r="D777" t="s">
        <v>20</v>
      </c>
      <c r="E777" t="s">
        <v>12</v>
      </c>
      <c r="F777">
        <v>49</v>
      </c>
      <c r="G777">
        <v>58</v>
      </c>
      <c r="H777">
        <v>55</v>
      </c>
    </row>
    <row r="778" spans="1:8" x14ac:dyDescent="0.25">
      <c r="A778" t="s">
        <v>8</v>
      </c>
      <c r="B778" t="s">
        <v>9</v>
      </c>
      <c r="C778" t="s">
        <v>22</v>
      </c>
      <c r="D778" t="s">
        <v>11</v>
      </c>
      <c r="E778" t="s">
        <v>12</v>
      </c>
      <c r="F778">
        <v>66</v>
      </c>
      <c r="G778">
        <v>72</v>
      </c>
      <c r="H778">
        <v>70</v>
      </c>
    </row>
    <row r="779" spans="1:8" x14ac:dyDescent="0.25">
      <c r="A779" t="s">
        <v>8</v>
      </c>
      <c r="B779" t="s">
        <v>13</v>
      </c>
      <c r="C779" t="s">
        <v>14</v>
      </c>
      <c r="D779" t="s">
        <v>20</v>
      </c>
      <c r="E779" t="s">
        <v>12</v>
      </c>
      <c r="F779">
        <v>35</v>
      </c>
      <c r="G779">
        <v>44</v>
      </c>
      <c r="H779">
        <v>43</v>
      </c>
    </row>
    <row r="780" spans="1:8" x14ac:dyDescent="0.25">
      <c r="A780" t="s">
        <v>8</v>
      </c>
      <c r="B780" t="s">
        <v>18</v>
      </c>
      <c r="C780" t="s">
        <v>14</v>
      </c>
      <c r="D780" t="s">
        <v>11</v>
      </c>
      <c r="E780" t="s">
        <v>15</v>
      </c>
      <c r="F780">
        <v>72</v>
      </c>
      <c r="G780">
        <v>79</v>
      </c>
      <c r="H780">
        <v>82</v>
      </c>
    </row>
    <row r="781" spans="1:8" x14ac:dyDescent="0.25">
      <c r="A781" t="s">
        <v>17</v>
      </c>
      <c r="B781" t="s">
        <v>24</v>
      </c>
      <c r="C781" t="s">
        <v>19</v>
      </c>
      <c r="D781" t="s">
        <v>11</v>
      </c>
      <c r="E781" t="s">
        <v>15</v>
      </c>
      <c r="F781">
        <v>94</v>
      </c>
      <c r="G781">
        <v>85</v>
      </c>
      <c r="H781">
        <v>82</v>
      </c>
    </row>
    <row r="782" spans="1:8" x14ac:dyDescent="0.25">
      <c r="A782" t="s">
        <v>8</v>
      </c>
      <c r="B782" t="s">
        <v>21</v>
      </c>
      <c r="C782" t="s">
        <v>19</v>
      </c>
      <c r="D782" t="s">
        <v>20</v>
      </c>
      <c r="E782" t="s">
        <v>12</v>
      </c>
      <c r="F782">
        <v>46</v>
      </c>
      <c r="G782">
        <v>56</v>
      </c>
      <c r="H782">
        <v>57</v>
      </c>
    </row>
    <row r="783" spans="1:8" x14ac:dyDescent="0.25">
      <c r="A783" t="s">
        <v>8</v>
      </c>
      <c r="B783" t="s">
        <v>9</v>
      </c>
      <c r="C783" t="s">
        <v>16</v>
      </c>
      <c r="D783" t="s">
        <v>11</v>
      </c>
      <c r="E783" t="s">
        <v>12</v>
      </c>
      <c r="F783">
        <v>77</v>
      </c>
      <c r="G783">
        <v>90</v>
      </c>
      <c r="H783">
        <v>84</v>
      </c>
    </row>
    <row r="784" spans="1:8" x14ac:dyDescent="0.25">
      <c r="A784" t="s">
        <v>8</v>
      </c>
      <c r="B784" t="s">
        <v>9</v>
      </c>
      <c r="C784" t="s">
        <v>22</v>
      </c>
      <c r="D784" t="s">
        <v>20</v>
      </c>
      <c r="E784" t="s">
        <v>15</v>
      </c>
      <c r="F784">
        <v>76</v>
      </c>
      <c r="G784">
        <v>85</v>
      </c>
      <c r="H784">
        <v>82</v>
      </c>
    </row>
    <row r="785" spans="1:8" x14ac:dyDescent="0.25">
      <c r="A785" t="s">
        <v>8</v>
      </c>
      <c r="B785" t="s">
        <v>13</v>
      </c>
      <c r="C785" t="s">
        <v>19</v>
      </c>
      <c r="D785" t="s">
        <v>11</v>
      </c>
      <c r="E785" t="s">
        <v>15</v>
      </c>
      <c r="F785">
        <v>52</v>
      </c>
      <c r="G785">
        <v>59</v>
      </c>
      <c r="H785">
        <v>62</v>
      </c>
    </row>
    <row r="786" spans="1:8" x14ac:dyDescent="0.25">
      <c r="A786" t="s">
        <v>17</v>
      </c>
      <c r="B786" t="s">
        <v>13</v>
      </c>
      <c r="C786" t="s">
        <v>10</v>
      </c>
      <c r="D786" t="s">
        <v>11</v>
      </c>
      <c r="E786" t="s">
        <v>15</v>
      </c>
      <c r="F786">
        <v>91</v>
      </c>
      <c r="G786">
        <v>81</v>
      </c>
      <c r="H786">
        <v>79</v>
      </c>
    </row>
    <row r="787" spans="1:8" x14ac:dyDescent="0.25">
      <c r="A787" t="s">
        <v>8</v>
      </c>
      <c r="B787" t="s">
        <v>9</v>
      </c>
      <c r="C787" t="s">
        <v>23</v>
      </c>
      <c r="D787" t="s">
        <v>11</v>
      </c>
      <c r="E787" t="s">
        <v>15</v>
      </c>
      <c r="F787">
        <v>32</v>
      </c>
      <c r="G787">
        <v>51</v>
      </c>
      <c r="H787">
        <v>44</v>
      </c>
    </row>
    <row r="788" spans="1:8" x14ac:dyDescent="0.25">
      <c r="A788" t="s">
        <v>8</v>
      </c>
      <c r="B788" t="s">
        <v>24</v>
      </c>
      <c r="C788" t="s">
        <v>23</v>
      </c>
      <c r="D788" t="s">
        <v>20</v>
      </c>
      <c r="E788" t="s">
        <v>12</v>
      </c>
      <c r="F788">
        <v>72</v>
      </c>
      <c r="G788">
        <v>79</v>
      </c>
      <c r="H788">
        <v>77</v>
      </c>
    </row>
    <row r="789" spans="1:8" x14ac:dyDescent="0.25">
      <c r="A789" t="s">
        <v>8</v>
      </c>
      <c r="B789" t="s">
        <v>9</v>
      </c>
      <c r="C789" t="s">
        <v>14</v>
      </c>
      <c r="D789" t="s">
        <v>11</v>
      </c>
      <c r="E789" t="s">
        <v>12</v>
      </c>
      <c r="F789">
        <v>19</v>
      </c>
      <c r="G789">
        <v>38</v>
      </c>
      <c r="H789">
        <v>32</v>
      </c>
    </row>
    <row r="790" spans="1:8" x14ac:dyDescent="0.25">
      <c r="A790" t="s">
        <v>17</v>
      </c>
      <c r="B790" t="s">
        <v>13</v>
      </c>
      <c r="C790" t="s">
        <v>19</v>
      </c>
      <c r="D790" t="s">
        <v>20</v>
      </c>
      <c r="E790" t="s">
        <v>12</v>
      </c>
      <c r="F790">
        <v>68</v>
      </c>
      <c r="G790">
        <v>65</v>
      </c>
      <c r="H790">
        <v>61</v>
      </c>
    </row>
    <row r="791" spans="1:8" x14ac:dyDescent="0.25">
      <c r="A791" t="s">
        <v>8</v>
      </c>
      <c r="B791" t="s">
        <v>13</v>
      </c>
      <c r="C791" t="s">
        <v>16</v>
      </c>
      <c r="D791" t="s">
        <v>20</v>
      </c>
      <c r="E791" t="s">
        <v>12</v>
      </c>
      <c r="F791">
        <v>52</v>
      </c>
      <c r="G791">
        <v>65</v>
      </c>
      <c r="H791">
        <v>61</v>
      </c>
    </row>
    <row r="792" spans="1:8" x14ac:dyDescent="0.25">
      <c r="A792" t="s">
        <v>8</v>
      </c>
      <c r="B792" t="s">
        <v>9</v>
      </c>
      <c r="C792" t="s">
        <v>22</v>
      </c>
      <c r="D792" t="s">
        <v>11</v>
      </c>
      <c r="E792" t="s">
        <v>12</v>
      </c>
      <c r="F792">
        <v>48</v>
      </c>
      <c r="G792">
        <v>62</v>
      </c>
      <c r="H792">
        <v>60</v>
      </c>
    </row>
    <row r="793" spans="1:8" x14ac:dyDescent="0.25">
      <c r="A793" t="s">
        <v>8</v>
      </c>
      <c r="B793" t="s">
        <v>21</v>
      </c>
      <c r="C793" t="s">
        <v>14</v>
      </c>
      <c r="D793" t="s">
        <v>20</v>
      </c>
      <c r="E793" t="s">
        <v>12</v>
      </c>
      <c r="F793">
        <v>60</v>
      </c>
      <c r="G793">
        <v>66</v>
      </c>
      <c r="H793">
        <v>70</v>
      </c>
    </row>
    <row r="794" spans="1:8" x14ac:dyDescent="0.25">
      <c r="A794" t="s">
        <v>17</v>
      </c>
      <c r="B794" t="s">
        <v>21</v>
      </c>
      <c r="C794" t="s">
        <v>22</v>
      </c>
      <c r="D794" t="s">
        <v>20</v>
      </c>
      <c r="E794" t="s">
        <v>12</v>
      </c>
      <c r="F794">
        <v>66</v>
      </c>
      <c r="G794">
        <v>74</v>
      </c>
      <c r="H794">
        <v>69</v>
      </c>
    </row>
    <row r="795" spans="1:8" x14ac:dyDescent="0.25">
      <c r="A795" t="s">
        <v>17</v>
      </c>
      <c r="B795" t="s">
        <v>24</v>
      </c>
      <c r="C795" t="s">
        <v>23</v>
      </c>
      <c r="D795" t="s">
        <v>11</v>
      </c>
      <c r="E795" t="s">
        <v>15</v>
      </c>
      <c r="F795">
        <v>89</v>
      </c>
      <c r="G795">
        <v>84</v>
      </c>
      <c r="H795">
        <v>77</v>
      </c>
    </row>
    <row r="796" spans="1:8" x14ac:dyDescent="0.25">
      <c r="A796" t="s">
        <v>8</v>
      </c>
      <c r="B796" t="s">
        <v>9</v>
      </c>
      <c r="C796" t="s">
        <v>22</v>
      </c>
      <c r="D796" t="s">
        <v>11</v>
      </c>
      <c r="E796" t="s">
        <v>12</v>
      </c>
      <c r="F796">
        <v>42</v>
      </c>
      <c r="G796">
        <v>52</v>
      </c>
      <c r="H796">
        <v>51</v>
      </c>
    </row>
    <row r="797" spans="1:8" x14ac:dyDescent="0.25">
      <c r="A797" t="s">
        <v>8</v>
      </c>
      <c r="B797" t="s">
        <v>24</v>
      </c>
      <c r="C797" t="s">
        <v>19</v>
      </c>
      <c r="D797" t="s">
        <v>20</v>
      </c>
      <c r="E797" t="s">
        <v>15</v>
      </c>
      <c r="F797">
        <v>57</v>
      </c>
      <c r="G797">
        <v>68</v>
      </c>
      <c r="H797">
        <v>73</v>
      </c>
    </row>
    <row r="798" spans="1:8" x14ac:dyDescent="0.25">
      <c r="A798" t="s">
        <v>17</v>
      </c>
      <c r="B798" t="s">
        <v>21</v>
      </c>
      <c r="C798" t="s">
        <v>22</v>
      </c>
      <c r="D798" t="s">
        <v>11</v>
      </c>
      <c r="E798" t="s">
        <v>12</v>
      </c>
      <c r="F798">
        <v>70</v>
      </c>
      <c r="G798">
        <v>70</v>
      </c>
      <c r="H798">
        <v>70</v>
      </c>
    </row>
    <row r="799" spans="1:8" x14ac:dyDescent="0.25">
      <c r="A799" t="s">
        <v>8</v>
      </c>
      <c r="B799" t="s">
        <v>24</v>
      </c>
      <c r="C799" t="s">
        <v>19</v>
      </c>
      <c r="D799" t="s">
        <v>20</v>
      </c>
      <c r="E799" t="s">
        <v>12</v>
      </c>
      <c r="F799">
        <v>70</v>
      </c>
      <c r="G799">
        <v>84</v>
      </c>
      <c r="H799">
        <v>81</v>
      </c>
    </row>
    <row r="800" spans="1:8" x14ac:dyDescent="0.25">
      <c r="A800" t="s">
        <v>17</v>
      </c>
      <c r="B800" t="s">
        <v>24</v>
      </c>
      <c r="C800" t="s">
        <v>14</v>
      </c>
      <c r="D800" t="s">
        <v>11</v>
      </c>
      <c r="E800" t="s">
        <v>12</v>
      </c>
      <c r="F800">
        <v>69</v>
      </c>
      <c r="G800">
        <v>60</v>
      </c>
      <c r="H800">
        <v>54</v>
      </c>
    </row>
    <row r="801" spans="1:8" x14ac:dyDescent="0.25">
      <c r="A801" t="s">
        <v>8</v>
      </c>
      <c r="B801" t="s">
        <v>13</v>
      </c>
      <c r="C801" t="s">
        <v>19</v>
      </c>
      <c r="D801" t="s">
        <v>11</v>
      </c>
      <c r="E801" t="s">
        <v>12</v>
      </c>
      <c r="F801">
        <v>52</v>
      </c>
      <c r="G801">
        <v>55</v>
      </c>
      <c r="H801">
        <v>57</v>
      </c>
    </row>
    <row r="802" spans="1:8" x14ac:dyDescent="0.25">
      <c r="A802" t="s">
        <v>17</v>
      </c>
      <c r="B802" t="s">
        <v>13</v>
      </c>
      <c r="C802" t="s">
        <v>23</v>
      </c>
      <c r="D802" t="s">
        <v>11</v>
      </c>
      <c r="E802" t="s">
        <v>15</v>
      </c>
      <c r="F802">
        <v>67</v>
      </c>
      <c r="G802">
        <v>73</v>
      </c>
      <c r="H802">
        <v>68</v>
      </c>
    </row>
    <row r="803" spans="1:8" x14ac:dyDescent="0.25">
      <c r="A803" t="s">
        <v>17</v>
      </c>
      <c r="B803" t="s">
        <v>13</v>
      </c>
      <c r="C803" t="s">
        <v>23</v>
      </c>
      <c r="D803" t="s">
        <v>11</v>
      </c>
      <c r="E803" t="s">
        <v>15</v>
      </c>
      <c r="F803">
        <v>76</v>
      </c>
      <c r="G803">
        <v>80</v>
      </c>
      <c r="H803">
        <v>73</v>
      </c>
    </row>
    <row r="804" spans="1:8" x14ac:dyDescent="0.25">
      <c r="A804" t="s">
        <v>8</v>
      </c>
      <c r="B804" t="s">
        <v>24</v>
      </c>
      <c r="C804" t="s">
        <v>19</v>
      </c>
      <c r="D804" t="s">
        <v>11</v>
      </c>
      <c r="E804" t="s">
        <v>12</v>
      </c>
      <c r="F804">
        <v>87</v>
      </c>
      <c r="G804">
        <v>94</v>
      </c>
      <c r="H804">
        <v>95</v>
      </c>
    </row>
    <row r="805" spans="1:8" x14ac:dyDescent="0.25">
      <c r="A805" t="s">
        <v>8</v>
      </c>
      <c r="B805" t="s">
        <v>9</v>
      </c>
      <c r="C805" t="s">
        <v>14</v>
      </c>
      <c r="D805" t="s">
        <v>11</v>
      </c>
      <c r="E805" t="s">
        <v>12</v>
      </c>
      <c r="F805">
        <v>82</v>
      </c>
      <c r="G805">
        <v>85</v>
      </c>
      <c r="H805">
        <v>87</v>
      </c>
    </row>
    <row r="806" spans="1:8" x14ac:dyDescent="0.25">
      <c r="A806" t="s">
        <v>8</v>
      </c>
      <c r="B806" t="s">
        <v>13</v>
      </c>
      <c r="C806" t="s">
        <v>14</v>
      </c>
      <c r="D806" t="s">
        <v>11</v>
      </c>
      <c r="E806" t="s">
        <v>12</v>
      </c>
      <c r="F806">
        <v>73</v>
      </c>
      <c r="G806">
        <v>76</v>
      </c>
      <c r="H806">
        <v>78</v>
      </c>
    </row>
    <row r="807" spans="1:8" x14ac:dyDescent="0.25">
      <c r="A807" t="s">
        <v>17</v>
      </c>
      <c r="B807" t="s">
        <v>18</v>
      </c>
      <c r="C807" t="s">
        <v>14</v>
      </c>
      <c r="D807" t="s">
        <v>20</v>
      </c>
      <c r="E807" t="s">
        <v>12</v>
      </c>
      <c r="F807">
        <v>75</v>
      </c>
      <c r="G807">
        <v>81</v>
      </c>
      <c r="H807">
        <v>74</v>
      </c>
    </row>
    <row r="808" spans="1:8" x14ac:dyDescent="0.25">
      <c r="A808" t="s">
        <v>8</v>
      </c>
      <c r="B808" t="s">
        <v>21</v>
      </c>
      <c r="C808" t="s">
        <v>14</v>
      </c>
      <c r="D808" t="s">
        <v>20</v>
      </c>
      <c r="E808" t="s">
        <v>12</v>
      </c>
      <c r="F808">
        <v>64</v>
      </c>
      <c r="G808">
        <v>74</v>
      </c>
      <c r="H808">
        <v>75</v>
      </c>
    </row>
    <row r="809" spans="1:8" x14ac:dyDescent="0.25">
      <c r="A809" t="s">
        <v>8</v>
      </c>
      <c r="B809" t="s">
        <v>24</v>
      </c>
      <c r="C809" t="s">
        <v>22</v>
      </c>
      <c r="D809" t="s">
        <v>20</v>
      </c>
      <c r="E809" t="s">
        <v>12</v>
      </c>
      <c r="F809">
        <v>41</v>
      </c>
      <c r="G809">
        <v>45</v>
      </c>
      <c r="H809">
        <v>40</v>
      </c>
    </row>
    <row r="810" spans="1:8" x14ac:dyDescent="0.25">
      <c r="A810" t="s">
        <v>17</v>
      </c>
      <c r="B810" t="s">
        <v>13</v>
      </c>
      <c r="C810" t="s">
        <v>22</v>
      </c>
      <c r="D810" t="s">
        <v>11</v>
      </c>
      <c r="E810" t="s">
        <v>12</v>
      </c>
      <c r="F810">
        <v>90</v>
      </c>
      <c r="G810">
        <v>75</v>
      </c>
      <c r="H810">
        <v>69</v>
      </c>
    </row>
    <row r="811" spans="1:8" x14ac:dyDescent="0.25">
      <c r="A811" t="s">
        <v>17</v>
      </c>
      <c r="B811" t="s">
        <v>9</v>
      </c>
      <c r="C811" t="s">
        <v>10</v>
      </c>
      <c r="D811" t="s">
        <v>11</v>
      </c>
      <c r="E811" t="s">
        <v>12</v>
      </c>
      <c r="F811">
        <v>59</v>
      </c>
      <c r="G811">
        <v>54</v>
      </c>
      <c r="H811">
        <v>51</v>
      </c>
    </row>
    <row r="812" spans="1:8" x14ac:dyDescent="0.25">
      <c r="A812" t="s">
        <v>17</v>
      </c>
      <c r="B812" t="s">
        <v>18</v>
      </c>
      <c r="C812" t="s">
        <v>23</v>
      </c>
      <c r="D812" t="s">
        <v>11</v>
      </c>
      <c r="E812" t="s">
        <v>12</v>
      </c>
      <c r="F812">
        <v>51</v>
      </c>
      <c r="G812">
        <v>31</v>
      </c>
      <c r="H812">
        <v>36</v>
      </c>
    </row>
    <row r="813" spans="1:8" x14ac:dyDescent="0.25">
      <c r="A813" t="s">
        <v>17</v>
      </c>
      <c r="B813" t="s">
        <v>18</v>
      </c>
      <c r="C813" t="s">
        <v>22</v>
      </c>
      <c r="D813" t="s">
        <v>20</v>
      </c>
      <c r="E813" t="s">
        <v>12</v>
      </c>
      <c r="F813">
        <v>45</v>
      </c>
      <c r="G813">
        <v>47</v>
      </c>
      <c r="H813">
        <v>49</v>
      </c>
    </row>
    <row r="814" spans="1:8" x14ac:dyDescent="0.25">
      <c r="A814" t="s">
        <v>8</v>
      </c>
      <c r="B814" t="s">
        <v>13</v>
      </c>
      <c r="C814" t="s">
        <v>16</v>
      </c>
      <c r="D814" t="s">
        <v>11</v>
      </c>
      <c r="E814" t="s">
        <v>15</v>
      </c>
      <c r="F814">
        <v>54</v>
      </c>
      <c r="G814">
        <v>64</v>
      </c>
      <c r="H814">
        <v>67</v>
      </c>
    </row>
    <row r="815" spans="1:8" x14ac:dyDescent="0.25">
      <c r="A815" t="s">
        <v>17</v>
      </c>
      <c r="B815" t="s">
        <v>24</v>
      </c>
      <c r="C815" t="s">
        <v>23</v>
      </c>
      <c r="D815" t="s">
        <v>11</v>
      </c>
      <c r="E815" t="s">
        <v>15</v>
      </c>
      <c r="F815">
        <v>87</v>
      </c>
      <c r="G815">
        <v>84</v>
      </c>
      <c r="H815">
        <v>76</v>
      </c>
    </row>
    <row r="816" spans="1:8" x14ac:dyDescent="0.25">
      <c r="A816" t="s">
        <v>8</v>
      </c>
      <c r="B816" t="s">
        <v>13</v>
      </c>
      <c r="C816" t="s">
        <v>22</v>
      </c>
      <c r="D816" t="s">
        <v>11</v>
      </c>
      <c r="E816" t="s">
        <v>12</v>
      </c>
      <c r="F816">
        <v>72</v>
      </c>
      <c r="G816">
        <v>80</v>
      </c>
      <c r="H816">
        <v>83</v>
      </c>
    </row>
    <row r="817" spans="1:8" x14ac:dyDescent="0.25">
      <c r="A817" t="s">
        <v>17</v>
      </c>
      <c r="B817" t="s">
        <v>9</v>
      </c>
      <c r="C817" t="s">
        <v>23</v>
      </c>
      <c r="D817" t="s">
        <v>11</v>
      </c>
      <c r="E817" t="s">
        <v>15</v>
      </c>
      <c r="F817">
        <v>94</v>
      </c>
      <c r="G817">
        <v>86</v>
      </c>
      <c r="H817">
        <v>87</v>
      </c>
    </row>
    <row r="818" spans="1:8" x14ac:dyDescent="0.25">
      <c r="A818" t="s">
        <v>8</v>
      </c>
      <c r="B818" t="s">
        <v>18</v>
      </c>
      <c r="C818" t="s">
        <v>10</v>
      </c>
      <c r="D818" t="s">
        <v>11</v>
      </c>
      <c r="E818" t="s">
        <v>12</v>
      </c>
      <c r="F818">
        <v>45</v>
      </c>
      <c r="G818">
        <v>59</v>
      </c>
      <c r="H818">
        <v>64</v>
      </c>
    </row>
    <row r="819" spans="1:8" x14ac:dyDescent="0.25">
      <c r="A819" t="s">
        <v>17</v>
      </c>
      <c r="B819" t="s">
        <v>21</v>
      </c>
      <c r="C819" t="s">
        <v>10</v>
      </c>
      <c r="D819" t="s">
        <v>20</v>
      </c>
      <c r="E819" t="s">
        <v>15</v>
      </c>
      <c r="F819">
        <v>61</v>
      </c>
      <c r="G819">
        <v>70</v>
      </c>
      <c r="H819">
        <v>76</v>
      </c>
    </row>
    <row r="820" spans="1:8" x14ac:dyDescent="0.25">
      <c r="A820" t="s">
        <v>8</v>
      </c>
      <c r="B820" t="s">
        <v>9</v>
      </c>
      <c r="C820" t="s">
        <v>22</v>
      </c>
      <c r="D820" t="s">
        <v>20</v>
      </c>
      <c r="E820" t="s">
        <v>12</v>
      </c>
      <c r="F820">
        <v>60</v>
      </c>
      <c r="G820">
        <v>72</v>
      </c>
      <c r="H820">
        <v>68</v>
      </c>
    </row>
    <row r="821" spans="1:8" x14ac:dyDescent="0.25">
      <c r="A821" t="s">
        <v>8</v>
      </c>
      <c r="B821" t="s">
        <v>13</v>
      </c>
      <c r="C821" t="s">
        <v>23</v>
      </c>
      <c r="D821" t="s">
        <v>11</v>
      </c>
      <c r="E821" t="s">
        <v>12</v>
      </c>
      <c r="F821">
        <v>77</v>
      </c>
      <c r="G821">
        <v>91</v>
      </c>
      <c r="H821">
        <v>88</v>
      </c>
    </row>
    <row r="822" spans="1:8" x14ac:dyDescent="0.25">
      <c r="A822" t="s">
        <v>8</v>
      </c>
      <c r="B822" t="s">
        <v>18</v>
      </c>
      <c r="C822" t="s">
        <v>23</v>
      </c>
      <c r="D822" t="s">
        <v>11</v>
      </c>
      <c r="E822" t="s">
        <v>15</v>
      </c>
      <c r="F822">
        <v>85</v>
      </c>
      <c r="G822">
        <v>90</v>
      </c>
      <c r="H822">
        <v>92</v>
      </c>
    </row>
    <row r="823" spans="1:8" x14ac:dyDescent="0.25">
      <c r="A823" t="s">
        <v>8</v>
      </c>
      <c r="B823" t="s">
        <v>21</v>
      </c>
      <c r="C823" t="s">
        <v>10</v>
      </c>
      <c r="D823" t="s">
        <v>20</v>
      </c>
      <c r="E823" t="s">
        <v>12</v>
      </c>
      <c r="F823">
        <v>78</v>
      </c>
      <c r="G823">
        <v>90</v>
      </c>
      <c r="H823">
        <v>93</v>
      </c>
    </row>
    <row r="824" spans="1:8" x14ac:dyDescent="0.25">
      <c r="A824" t="s">
        <v>17</v>
      </c>
      <c r="B824" t="s">
        <v>24</v>
      </c>
      <c r="C824" t="s">
        <v>14</v>
      </c>
      <c r="D824" t="s">
        <v>20</v>
      </c>
      <c r="E824" t="s">
        <v>15</v>
      </c>
      <c r="F824">
        <v>49</v>
      </c>
      <c r="G824">
        <v>52</v>
      </c>
      <c r="H824">
        <v>51</v>
      </c>
    </row>
    <row r="825" spans="1:8" x14ac:dyDescent="0.25">
      <c r="A825" t="s">
        <v>8</v>
      </c>
      <c r="B825" t="s">
        <v>9</v>
      </c>
      <c r="C825" t="s">
        <v>22</v>
      </c>
      <c r="D825" t="s">
        <v>20</v>
      </c>
      <c r="E825" t="s">
        <v>12</v>
      </c>
      <c r="F825">
        <v>71</v>
      </c>
      <c r="G825">
        <v>87</v>
      </c>
      <c r="H825">
        <v>82</v>
      </c>
    </row>
    <row r="826" spans="1:8" x14ac:dyDescent="0.25">
      <c r="A826" t="s">
        <v>8</v>
      </c>
      <c r="B826" t="s">
        <v>13</v>
      </c>
      <c r="C826" t="s">
        <v>23</v>
      </c>
      <c r="D826" t="s">
        <v>20</v>
      </c>
      <c r="E826" t="s">
        <v>12</v>
      </c>
      <c r="F826">
        <v>48</v>
      </c>
      <c r="G826">
        <v>58</v>
      </c>
      <c r="H826">
        <v>52</v>
      </c>
    </row>
    <row r="827" spans="1:8" x14ac:dyDescent="0.25">
      <c r="A827" t="s">
        <v>17</v>
      </c>
      <c r="B827" t="s">
        <v>13</v>
      </c>
      <c r="C827" t="s">
        <v>22</v>
      </c>
      <c r="D827" t="s">
        <v>11</v>
      </c>
      <c r="E827" t="s">
        <v>12</v>
      </c>
      <c r="F827">
        <v>62</v>
      </c>
      <c r="G827">
        <v>67</v>
      </c>
      <c r="H827">
        <v>58</v>
      </c>
    </row>
    <row r="828" spans="1:8" x14ac:dyDescent="0.25">
      <c r="A828" t="s">
        <v>8</v>
      </c>
      <c r="B828" t="s">
        <v>13</v>
      </c>
      <c r="C828" t="s">
        <v>19</v>
      </c>
      <c r="D828" t="s">
        <v>20</v>
      </c>
      <c r="E828" t="s">
        <v>15</v>
      </c>
      <c r="F828">
        <v>56</v>
      </c>
      <c r="G828">
        <v>68</v>
      </c>
      <c r="H828">
        <v>70</v>
      </c>
    </row>
    <row r="829" spans="1:8" x14ac:dyDescent="0.25">
      <c r="A829" t="s">
        <v>8</v>
      </c>
      <c r="B829" t="s">
        <v>13</v>
      </c>
      <c r="C829" t="s">
        <v>23</v>
      </c>
      <c r="D829" t="s">
        <v>11</v>
      </c>
      <c r="E829" t="s">
        <v>12</v>
      </c>
      <c r="F829">
        <v>65</v>
      </c>
      <c r="G829">
        <v>69</v>
      </c>
      <c r="H829">
        <v>76</v>
      </c>
    </row>
    <row r="830" spans="1:8" x14ac:dyDescent="0.25">
      <c r="A830" t="s">
        <v>8</v>
      </c>
      <c r="B830" t="s">
        <v>21</v>
      </c>
      <c r="C830" t="s">
        <v>23</v>
      </c>
      <c r="D830" t="s">
        <v>20</v>
      </c>
      <c r="E830" t="s">
        <v>15</v>
      </c>
      <c r="F830">
        <v>69</v>
      </c>
      <c r="G830">
        <v>86</v>
      </c>
      <c r="H830">
        <v>81</v>
      </c>
    </row>
    <row r="831" spans="1:8" x14ac:dyDescent="0.25">
      <c r="A831" t="s">
        <v>17</v>
      </c>
      <c r="B831" t="s">
        <v>9</v>
      </c>
      <c r="C831" t="s">
        <v>23</v>
      </c>
      <c r="D831" t="s">
        <v>11</v>
      </c>
      <c r="E831" t="s">
        <v>12</v>
      </c>
      <c r="F831">
        <v>68</v>
      </c>
      <c r="G831">
        <v>54</v>
      </c>
      <c r="H831">
        <v>53</v>
      </c>
    </row>
    <row r="832" spans="1:8" x14ac:dyDescent="0.25">
      <c r="A832" t="s">
        <v>8</v>
      </c>
      <c r="B832" t="s">
        <v>18</v>
      </c>
      <c r="C832" t="s">
        <v>14</v>
      </c>
      <c r="D832" t="s">
        <v>20</v>
      </c>
      <c r="E832" t="s">
        <v>12</v>
      </c>
      <c r="F832">
        <v>61</v>
      </c>
      <c r="G832">
        <v>60</v>
      </c>
      <c r="H832">
        <v>57</v>
      </c>
    </row>
    <row r="833" spans="1:8" x14ac:dyDescent="0.25">
      <c r="A833" t="s">
        <v>8</v>
      </c>
      <c r="B833" t="s">
        <v>13</v>
      </c>
      <c r="C833" t="s">
        <v>10</v>
      </c>
      <c r="D833" t="s">
        <v>20</v>
      </c>
      <c r="E833" t="s">
        <v>15</v>
      </c>
      <c r="F833">
        <v>74</v>
      </c>
      <c r="G833">
        <v>86</v>
      </c>
      <c r="H833">
        <v>89</v>
      </c>
    </row>
    <row r="834" spans="1:8" x14ac:dyDescent="0.25">
      <c r="A834" t="s">
        <v>17</v>
      </c>
      <c r="B834" t="s">
        <v>18</v>
      </c>
      <c r="C834" t="s">
        <v>10</v>
      </c>
      <c r="D834" t="s">
        <v>11</v>
      </c>
      <c r="E834" t="s">
        <v>12</v>
      </c>
      <c r="F834">
        <v>64</v>
      </c>
      <c r="G834">
        <v>60</v>
      </c>
      <c r="H834">
        <v>58</v>
      </c>
    </row>
    <row r="835" spans="1:8" x14ac:dyDescent="0.25">
      <c r="A835" t="s">
        <v>8</v>
      </c>
      <c r="B835" t="s">
        <v>9</v>
      </c>
      <c r="C835" t="s">
        <v>22</v>
      </c>
      <c r="D835" t="s">
        <v>11</v>
      </c>
      <c r="E835" t="s">
        <v>15</v>
      </c>
      <c r="F835">
        <v>77</v>
      </c>
      <c r="G835">
        <v>82</v>
      </c>
      <c r="H835">
        <v>89</v>
      </c>
    </row>
    <row r="836" spans="1:8" x14ac:dyDescent="0.25">
      <c r="A836" t="s">
        <v>17</v>
      </c>
      <c r="B836" t="s">
        <v>9</v>
      </c>
      <c r="C836" t="s">
        <v>14</v>
      </c>
      <c r="D836" t="s">
        <v>11</v>
      </c>
      <c r="E836" t="s">
        <v>12</v>
      </c>
      <c r="F836">
        <v>58</v>
      </c>
      <c r="G836">
        <v>50</v>
      </c>
      <c r="H836">
        <v>45</v>
      </c>
    </row>
    <row r="837" spans="1:8" x14ac:dyDescent="0.25">
      <c r="A837" t="s">
        <v>8</v>
      </c>
      <c r="B837" t="s">
        <v>13</v>
      </c>
      <c r="C837" t="s">
        <v>22</v>
      </c>
      <c r="D837" t="s">
        <v>11</v>
      </c>
      <c r="E837" t="s">
        <v>15</v>
      </c>
      <c r="F837">
        <v>60</v>
      </c>
      <c r="G837">
        <v>64</v>
      </c>
      <c r="H837">
        <v>74</v>
      </c>
    </row>
    <row r="838" spans="1:8" x14ac:dyDescent="0.25">
      <c r="A838" t="s">
        <v>17</v>
      </c>
      <c r="B838" t="s">
        <v>24</v>
      </c>
      <c r="C838" t="s">
        <v>22</v>
      </c>
      <c r="D838" t="s">
        <v>11</v>
      </c>
      <c r="E838" t="s">
        <v>12</v>
      </c>
      <c r="F838">
        <v>73</v>
      </c>
      <c r="G838">
        <v>64</v>
      </c>
      <c r="H838">
        <v>57</v>
      </c>
    </row>
    <row r="839" spans="1:8" x14ac:dyDescent="0.25">
      <c r="A839" t="s">
        <v>8</v>
      </c>
      <c r="B839" t="s">
        <v>18</v>
      </c>
      <c r="C839" t="s">
        <v>22</v>
      </c>
      <c r="D839" t="s">
        <v>11</v>
      </c>
      <c r="E839" t="s">
        <v>15</v>
      </c>
      <c r="F839">
        <v>75</v>
      </c>
      <c r="G839">
        <v>82</v>
      </c>
      <c r="H839">
        <v>79</v>
      </c>
    </row>
    <row r="840" spans="1:8" x14ac:dyDescent="0.25">
      <c r="A840" t="s">
        <v>17</v>
      </c>
      <c r="B840" t="s">
        <v>9</v>
      </c>
      <c r="C840" t="s">
        <v>19</v>
      </c>
      <c r="D840" t="s">
        <v>20</v>
      </c>
      <c r="E840" t="s">
        <v>15</v>
      </c>
      <c r="F840">
        <v>58</v>
      </c>
      <c r="G840">
        <v>57</v>
      </c>
      <c r="H840">
        <v>53</v>
      </c>
    </row>
    <row r="841" spans="1:8" x14ac:dyDescent="0.25">
      <c r="A841" t="s">
        <v>8</v>
      </c>
      <c r="B841" t="s">
        <v>13</v>
      </c>
      <c r="C841" t="s">
        <v>19</v>
      </c>
      <c r="D841" t="s">
        <v>11</v>
      </c>
      <c r="E841" t="s">
        <v>12</v>
      </c>
      <c r="F841">
        <v>66</v>
      </c>
      <c r="G841">
        <v>77</v>
      </c>
      <c r="H841">
        <v>73</v>
      </c>
    </row>
    <row r="842" spans="1:8" x14ac:dyDescent="0.25">
      <c r="A842" t="s">
        <v>8</v>
      </c>
      <c r="B842" t="s">
        <v>21</v>
      </c>
      <c r="C842" t="s">
        <v>22</v>
      </c>
      <c r="D842" t="s">
        <v>20</v>
      </c>
      <c r="E842" t="s">
        <v>12</v>
      </c>
      <c r="F842">
        <v>39</v>
      </c>
      <c r="G842">
        <v>52</v>
      </c>
      <c r="H842">
        <v>46</v>
      </c>
    </row>
    <row r="843" spans="1:8" x14ac:dyDescent="0.25">
      <c r="A843" t="s">
        <v>17</v>
      </c>
      <c r="B843" t="s">
        <v>13</v>
      </c>
      <c r="C843" t="s">
        <v>23</v>
      </c>
      <c r="D843" t="s">
        <v>11</v>
      </c>
      <c r="E843" t="s">
        <v>12</v>
      </c>
      <c r="F843">
        <v>64</v>
      </c>
      <c r="G843">
        <v>58</v>
      </c>
      <c r="H843">
        <v>51</v>
      </c>
    </row>
    <row r="844" spans="1:8" x14ac:dyDescent="0.25">
      <c r="A844" t="s">
        <v>8</v>
      </c>
      <c r="B844" t="s">
        <v>9</v>
      </c>
      <c r="C844" t="s">
        <v>22</v>
      </c>
      <c r="D844" t="s">
        <v>20</v>
      </c>
      <c r="E844" t="s">
        <v>15</v>
      </c>
      <c r="F844">
        <v>23</v>
      </c>
      <c r="G844">
        <v>44</v>
      </c>
      <c r="H844">
        <v>36</v>
      </c>
    </row>
    <row r="845" spans="1:8" x14ac:dyDescent="0.25">
      <c r="A845" t="s">
        <v>17</v>
      </c>
      <c r="B845" t="s">
        <v>9</v>
      </c>
      <c r="C845" t="s">
        <v>14</v>
      </c>
      <c r="D845" t="s">
        <v>20</v>
      </c>
      <c r="E845" t="s">
        <v>15</v>
      </c>
      <c r="F845">
        <v>74</v>
      </c>
      <c r="G845">
        <v>77</v>
      </c>
      <c r="H845">
        <v>76</v>
      </c>
    </row>
    <row r="846" spans="1:8" x14ac:dyDescent="0.25">
      <c r="A846" t="s">
        <v>8</v>
      </c>
      <c r="B846" t="s">
        <v>21</v>
      </c>
      <c r="C846" t="s">
        <v>23</v>
      </c>
      <c r="D846" t="s">
        <v>20</v>
      </c>
      <c r="E846" t="s">
        <v>15</v>
      </c>
      <c r="F846">
        <v>40</v>
      </c>
      <c r="G846">
        <v>65</v>
      </c>
      <c r="H846">
        <v>64</v>
      </c>
    </row>
    <row r="847" spans="1:8" x14ac:dyDescent="0.25">
      <c r="A847" t="s">
        <v>17</v>
      </c>
      <c r="B847" t="s">
        <v>24</v>
      </c>
      <c r="C847" t="s">
        <v>16</v>
      </c>
      <c r="D847" t="s">
        <v>11</v>
      </c>
      <c r="E847" t="s">
        <v>12</v>
      </c>
      <c r="F847">
        <v>90</v>
      </c>
      <c r="G847">
        <v>85</v>
      </c>
      <c r="H847">
        <v>84</v>
      </c>
    </row>
    <row r="848" spans="1:8" x14ac:dyDescent="0.25">
      <c r="A848" t="s">
        <v>17</v>
      </c>
      <c r="B848" t="s">
        <v>13</v>
      </c>
      <c r="C848" t="s">
        <v>16</v>
      </c>
      <c r="D848" t="s">
        <v>11</v>
      </c>
      <c r="E848" t="s">
        <v>15</v>
      </c>
      <c r="F848">
        <v>91</v>
      </c>
      <c r="G848">
        <v>85</v>
      </c>
      <c r="H848">
        <v>85</v>
      </c>
    </row>
    <row r="849" spans="1:8" x14ac:dyDescent="0.25">
      <c r="A849" t="s">
        <v>17</v>
      </c>
      <c r="B849" t="s">
        <v>21</v>
      </c>
      <c r="C849" t="s">
        <v>22</v>
      </c>
      <c r="D849" t="s">
        <v>11</v>
      </c>
      <c r="E849" t="s">
        <v>12</v>
      </c>
      <c r="F849">
        <v>64</v>
      </c>
      <c r="G849">
        <v>54</v>
      </c>
      <c r="H849">
        <v>50</v>
      </c>
    </row>
    <row r="850" spans="1:8" x14ac:dyDescent="0.25">
      <c r="A850" t="s">
        <v>8</v>
      </c>
      <c r="B850" t="s">
        <v>13</v>
      </c>
      <c r="C850" t="s">
        <v>22</v>
      </c>
      <c r="D850" t="s">
        <v>11</v>
      </c>
      <c r="E850" t="s">
        <v>12</v>
      </c>
      <c r="F850">
        <v>59</v>
      </c>
      <c r="G850">
        <v>72</v>
      </c>
      <c r="H850">
        <v>68</v>
      </c>
    </row>
    <row r="851" spans="1:8" x14ac:dyDescent="0.25">
      <c r="A851" t="s">
        <v>17</v>
      </c>
      <c r="B851" t="s">
        <v>21</v>
      </c>
      <c r="C851" t="s">
        <v>19</v>
      </c>
      <c r="D851" t="s">
        <v>11</v>
      </c>
      <c r="E851" t="s">
        <v>12</v>
      </c>
      <c r="F851">
        <v>80</v>
      </c>
      <c r="G851">
        <v>75</v>
      </c>
      <c r="H851">
        <v>69</v>
      </c>
    </row>
    <row r="852" spans="1:8" x14ac:dyDescent="0.25">
      <c r="A852" t="s">
        <v>17</v>
      </c>
      <c r="B852" t="s">
        <v>13</v>
      </c>
      <c r="C852" t="s">
        <v>16</v>
      </c>
      <c r="D852" t="s">
        <v>11</v>
      </c>
      <c r="E852" t="s">
        <v>12</v>
      </c>
      <c r="F852">
        <v>71</v>
      </c>
      <c r="G852">
        <v>67</v>
      </c>
      <c r="H852">
        <v>67</v>
      </c>
    </row>
    <row r="853" spans="1:8" x14ac:dyDescent="0.25">
      <c r="A853" t="s">
        <v>8</v>
      </c>
      <c r="B853" t="s">
        <v>18</v>
      </c>
      <c r="C853" t="s">
        <v>22</v>
      </c>
      <c r="D853" t="s">
        <v>11</v>
      </c>
      <c r="E853" t="s">
        <v>12</v>
      </c>
      <c r="F853">
        <v>61</v>
      </c>
      <c r="G853">
        <v>68</v>
      </c>
      <c r="H853">
        <v>63</v>
      </c>
    </row>
    <row r="854" spans="1:8" x14ac:dyDescent="0.25">
      <c r="A854" t="s">
        <v>8</v>
      </c>
      <c r="B854" t="s">
        <v>24</v>
      </c>
      <c r="C854" t="s">
        <v>14</v>
      </c>
      <c r="D854" t="s">
        <v>11</v>
      </c>
      <c r="E854" t="s">
        <v>12</v>
      </c>
      <c r="F854">
        <v>87</v>
      </c>
      <c r="G854">
        <v>85</v>
      </c>
      <c r="H854">
        <v>93</v>
      </c>
    </row>
    <row r="855" spans="1:8" x14ac:dyDescent="0.25">
      <c r="A855" t="s">
        <v>17</v>
      </c>
      <c r="B855" t="s">
        <v>24</v>
      </c>
      <c r="C855" t="s">
        <v>23</v>
      </c>
      <c r="D855" t="s">
        <v>11</v>
      </c>
      <c r="E855" t="s">
        <v>12</v>
      </c>
      <c r="F855">
        <v>82</v>
      </c>
      <c r="G855">
        <v>67</v>
      </c>
      <c r="H855">
        <v>61</v>
      </c>
    </row>
    <row r="856" spans="1:8" x14ac:dyDescent="0.25">
      <c r="A856" t="s">
        <v>17</v>
      </c>
      <c r="B856" t="s">
        <v>13</v>
      </c>
      <c r="C856" t="s">
        <v>23</v>
      </c>
      <c r="D856" t="s">
        <v>11</v>
      </c>
      <c r="E856" t="s">
        <v>12</v>
      </c>
      <c r="F856">
        <v>62</v>
      </c>
      <c r="G856">
        <v>64</v>
      </c>
      <c r="H856">
        <v>55</v>
      </c>
    </row>
    <row r="857" spans="1:8" x14ac:dyDescent="0.25">
      <c r="A857" t="s">
        <v>8</v>
      </c>
      <c r="B857" t="s">
        <v>9</v>
      </c>
      <c r="C857" t="s">
        <v>10</v>
      </c>
      <c r="D857" t="s">
        <v>11</v>
      </c>
      <c r="E857" t="s">
        <v>12</v>
      </c>
      <c r="F857">
        <v>97</v>
      </c>
      <c r="G857">
        <v>97</v>
      </c>
      <c r="H857">
        <v>96</v>
      </c>
    </row>
    <row r="858" spans="1:8" x14ac:dyDescent="0.25">
      <c r="A858" t="s">
        <v>17</v>
      </c>
      <c r="B858" t="s">
        <v>9</v>
      </c>
      <c r="C858" t="s">
        <v>14</v>
      </c>
      <c r="D858" t="s">
        <v>20</v>
      </c>
      <c r="E858" t="s">
        <v>12</v>
      </c>
      <c r="F858">
        <v>75</v>
      </c>
      <c r="G858">
        <v>68</v>
      </c>
      <c r="H858">
        <v>65</v>
      </c>
    </row>
    <row r="859" spans="1:8" x14ac:dyDescent="0.25">
      <c r="A859" t="s">
        <v>8</v>
      </c>
      <c r="B859" t="s">
        <v>13</v>
      </c>
      <c r="C859" t="s">
        <v>10</v>
      </c>
      <c r="D859" t="s">
        <v>11</v>
      </c>
      <c r="E859" t="s">
        <v>12</v>
      </c>
      <c r="F859">
        <v>65</v>
      </c>
      <c r="G859">
        <v>79</v>
      </c>
      <c r="H859">
        <v>81</v>
      </c>
    </row>
    <row r="860" spans="1:8" x14ac:dyDescent="0.25">
      <c r="A860" t="s">
        <v>17</v>
      </c>
      <c r="B860" t="s">
        <v>9</v>
      </c>
      <c r="C860" t="s">
        <v>22</v>
      </c>
      <c r="D860" t="s">
        <v>11</v>
      </c>
      <c r="E860" t="s">
        <v>15</v>
      </c>
      <c r="F860">
        <v>52</v>
      </c>
      <c r="G860">
        <v>49</v>
      </c>
      <c r="H860">
        <v>46</v>
      </c>
    </row>
    <row r="861" spans="1:8" x14ac:dyDescent="0.25">
      <c r="A861" t="s">
        <v>17</v>
      </c>
      <c r="B861" t="s">
        <v>13</v>
      </c>
      <c r="C861" t="s">
        <v>19</v>
      </c>
      <c r="D861" t="s">
        <v>20</v>
      </c>
      <c r="E861" t="s">
        <v>12</v>
      </c>
      <c r="F861">
        <v>87</v>
      </c>
      <c r="G861">
        <v>73</v>
      </c>
      <c r="H861">
        <v>72</v>
      </c>
    </row>
    <row r="862" spans="1:8" x14ac:dyDescent="0.25">
      <c r="A862" t="s">
        <v>8</v>
      </c>
      <c r="B862" t="s">
        <v>13</v>
      </c>
      <c r="C862" t="s">
        <v>19</v>
      </c>
      <c r="D862" t="s">
        <v>11</v>
      </c>
      <c r="E862" t="s">
        <v>12</v>
      </c>
      <c r="F862">
        <v>53</v>
      </c>
      <c r="G862">
        <v>62</v>
      </c>
      <c r="H862">
        <v>53</v>
      </c>
    </row>
    <row r="863" spans="1:8" x14ac:dyDescent="0.25">
      <c r="A863" t="s">
        <v>8</v>
      </c>
      <c r="B863" t="s">
        <v>24</v>
      </c>
      <c r="C863" t="s">
        <v>16</v>
      </c>
      <c r="D863" t="s">
        <v>20</v>
      </c>
      <c r="E863" t="s">
        <v>12</v>
      </c>
      <c r="F863">
        <v>81</v>
      </c>
      <c r="G863">
        <v>86</v>
      </c>
      <c r="H863">
        <v>87</v>
      </c>
    </row>
    <row r="864" spans="1:8" x14ac:dyDescent="0.25">
      <c r="A864" t="s">
        <v>17</v>
      </c>
      <c r="B864" t="s">
        <v>21</v>
      </c>
      <c r="C864" t="s">
        <v>10</v>
      </c>
      <c r="D864" t="s">
        <v>20</v>
      </c>
      <c r="E864" t="s">
        <v>15</v>
      </c>
      <c r="F864">
        <v>39</v>
      </c>
      <c r="G864">
        <v>42</v>
      </c>
      <c r="H864">
        <v>38</v>
      </c>
    </row>
    <row r="865" spans="1:8" x14ac:dyDescent="0.25">
      <c r="A865" t="s">
        <v>8</v>
      </c>
      <c r="B865" t="s">
        <v>13</v>
      </c>
      <c r="C865" t="s">
        <v>14</v>
      </c>
      <c r="D865" t="s">
        <v>11</v>
      </c>
      <c r="E865" t="s">
        <v>15</v>
      </c>
      <c r="F865">
        <v>71</v>
      </c>
      <c r="G865">
        <v>71</v>
      </c>
      <c r="H865">
        <v>80</v>
      </c>
    </row>
    <row r="866" spans="1:8" x14ac:dyDescent="0.25">
      <c r="A866" t="s">
        <v>17</v>
      </c>
      <c r="B866" t="s">
        <v>13</v>
      </c>
      <c r="C866" t="s">
        <v>19</v>
      </c>
      <c r="D866" t="s">
        <v>11</v>
      </c>
      <c r="E866" t="s">
        <v>12</v>
      </c>
      <c r="F866">
        <v>97</v>
      </c>
      <c r="G866">
        <v>93</v>
      </c>
      <c r="H866">
        <v>91</v>
      </c>
    </row>
    <row r="867" spans="1:8" x14ac:dyDescent="0.25">
      <c r="A867" t="s">
        <v>17</v>
      </c>
      <c r="B867" t="s">
        <v>21</v>
      </c>
      <c r="C867" t="s">
        <v>14</v>
      </c>
      <c r="D867" t="s">
        <v>11</v>
      </c>
      <c r="E867" t="s">
        <v>15</v>
      </c>
      <c r="F867">
        <v>82</v>
      </c>
      <c r="G867">
        <v>82</v>
      </c>
      <c r="H867">
        <v>88</v>
      </c>
    </row>
    <row r="868" spans="1:8" x14ac:dyDescent="0.25">
      <c r="A868" t="s">
        <v>17</v>
      </c>
      <c r="B868" t="s">
        <v>13</v>
      </c>
      <c r="C868" t="s">
        <v>22</v>
      </c>
      <c r="D868" t="s">
        <v>20</v>
      </c>
      <c r="E868" t="s">
        <v>12</v>
      </c>
      <c r="F868">
        <v>59</v>
      </c>
      <c r="G868">
        <v>53</v>
      </c>
      <c r="H868">
        <v>52</v>
      </c>
    </row>
    <row r="869" spans="1:8" x14ac:dyDescent="0.25">
      <c r="A869" t="s">
        <v>17</v>
      </c>
      <c r="B869" t="s">
        <v>9</v>
      </c>
      <c r="C869" t="s">
        <v>19</v>
      </c>
      <c r="D869" t="s">
        <v>11</v>
      </c>
      <c r="E869" t="s">
        <v>12</v>
      </c>
      <c r="F869">
        <v>61</v>
      </c>
      <c r="G869">
        <v>42</v>
      </c>
      <c r="H869">
        <v>41</v>
      </c>
    </row>
    <row r="870" spans="1:8" x14ac:dyDescent="0.25">
      <c r="A870" t="s">
        <v>17</v>
      </c>
      <c r="B870" t="s">
        <v>24</v>
      </c>
      <c r="C870" t="s">
        <v>19</v>
      </c>
      <c r="D870" t="s">
        <v>20</v>
      </c>
      <c r="E870" t="s">
        <v>15</v>
      </c>
      <c r="F870">
        <v>78</v>
      </c>
      <c r="G870">
        <v>74</v>
      </c>
      <c r="H870">
        <v>72</v>
      </c>
    </row>
    <row r="871" spans="1:8" x14ac:dyDescent="0.25">
      <c r="A871" t="s">
        <v>17</v>
      </c>
      <c r="B871" t="s">
        <v>13</v>
      </c>
      <c r="C871" t="s">
        <v>19</v>
      </c>
      <c r="D871" t="s">
        <v>20</v>
      </c>
      <c r="E871" t="s">
        <v>12</v>
      </c>
      <c r="F871">
        <v>49</v>
      </c>
      <c r="G871">
        <v>51</v>
      </c>
      <c r="H871">
        <v>51</v>
      </c>
    </row>
    <row r="872" spans="1:8" x14ac:dyDescent="0.25">
      <c r="A872" t="s">
        <v>17</v>
      </c>
      <c r="B872" t="s">
        <v>9</v>
      </c>
      <c r="C872" t="s">
        <v>22</v>
      </c>
      <c r="D872" t="s">
        <v>11</v>
      </c>
      <c r="E872" t="s">
        <v>12</v>
      </c>
      <c r="F872">
        <v>59</v>
      </c>
      <c r="G872">
        <v>58</v>
      </c>
      <c r="H872">
        <v>47</v>
      </c>
    </row>
    <row r="873" spans="1:8" x14ac:dyDescent="0.25">
      <c r="A873" t="s">
        <v>8</v>
      </c>
      <c r="B873" t="s">
        <v>13</v>
      </c>
      <c r="C873" t="s">
        <v>14</v>
      </c>
      <c r="D873" t="s">
        <v>11</v>
      </c>
      <c r="E873" t="s">
        <v>15</v>
      </c>
      <c r="F873">
        <v>70</v>
      </c>
      <c r="G873">
        <v>72</v>
      </c>
      <c r="H873">
        <v>76</v>
      </c>
    </row>
    <row r="874" spans="1:8" x14ac:dyDescent="0.25">
      <c r="A874" t="s">
        <v>17</v>
      </c>
      <c r="B874" t="s">
        <v>9</v>
      </c>
      <c r="C874" t="s">
        <v>19</v>
      </c>
      <c r="D874" t="s">
        <v>11</v>
      </c>
      <c r="E874" t="s">
        <v>15</v>
      </c>
      <c r="F874">
        <v>82</v>
      </c>
      <c r="G874">
        <v>84</v>
      </c>
      <c r="H874">
        <v>78</v>
      </c>
    </row>
    <row r="875" spans="1:8" x14ac:dyDescent="0.25">
      <c r="A875" t="s">
        <v>17</v>
      </c>
      <c r="B875" t="s">
        <v>24</v>
      </c>
      <c r="C875" t="s">
        <v>19</v>
      </c>
      <c r="D875" t="s">
        <v>20</v>
      </c>
      <c r="E875" t="s">
        <v>12</v>
      </c>
      <c r="F875">
        <v>90</v>
      </c>
      <c r="G875">
        <v>90</v>
      </c>
      <c r="H875">
        <v>82</v>
      </c>
    </row>
    <row r="876" spans="1:8" x14ac:dyDescent="0.25">
      <c r="A876" t="s">
        <v>8</v>
      </c>
      <c r="B876" t="s">
        <v>13</v>
      </c>
      <c r="C876" t="s">
        <v>10</v>
      </c>
      <c r="D876" t="s">
        <v>20</v>
      </c>
      <c r="E876" t="s">
        <v>12</v>
      </c>
      <c r="F876">
        <v>43</v>
      </c>
      <c r="G876">
        <v>62</v>
      </c>
      <c r="H876">
        <v>61</v>
      </c>
    </row>
    <row r="877" spans="1:8" x14ac:dyDescent="0.25">
      <c r="A877" t="s">
        <v>17</v>
      </c>
      <c r="B877" t="s">
        <v>13</v>
      </c>
      <c r="C877" t="s">
        <v>14</v>
      </c>
      <c r="D877" t="s">
        <v>20</v>
      </c>
      <c r="E877" t="s">
        <v>12</v>
      </c>
      <c r="F877">
        <v>80</v>
      </c>
      <c r="G877">
        <v>64</v>
      </c>
      <c r="H877">
        <v>66</v>
      </c>
    </row>
    <row r="878" spans="1:8" x14ac:dyDescent="0.25">
      <c r="A878" t="s">
        <v>17</v>
      </c>
      <c r="B878" t="s">
        <v>21</v>
      </c>
      <c r="C878" t="s">
        <v>14</v>
      </c>
      <c r="D878" t="s">
        <v>11</v>
      </c>
      <c r="E878" t="s">
        <v>12</v>
      </c>
      <c r="F878">
        <v>81</v>
      </c>
      <c r="G878">
        <v>82</v>
      </c>
      <c r="H878">
        <v>84</v>
      </c>
    </row>
    <row r="879" spans="1:8" x14ac:dyDescent="0.25">
      <c r="A879" t="s">
        <v>17</v>
      </c>
      <c r="B879" t="s">
        <v>13</v>
      </c>
      <c r="C879" t="s">
        <v>23</v>
      </c>
      <c r="D879" t="s">
        <v>11</v>
      </c>
      <c r="E879" t="s">
        <v>12</v>
      </c>
      <c r="F879">
        <v>57</v>
      </c>
      <c r="G879">
        <v>61</v>
      </c>
      <c r="H879">
        <v>54</v>
      </c>
    </row>
    <row r="880" spans="1:8" x14ac:dyDescent="0.25">
      <c r="A880" t="s">
        <v>8</v>
      </c>
      <c r="B880" t="s">
        <v>21</v>
      </c>
      <c r="C880" t="s">
        <v>23</v>
      </c>
      <c r="D880" t="s">
        <v>11</v>
      </c>
      <c r="E880" t="s">
        <v>12</v>
      </c>
      <c r="F880">
        <v>59</v>
      </c>
      <c r="G880">
        <v>72</v>
      </c>
      <c r="H880">
        <v>80</v>
      </c>
    </row>
    <row r="881" spans="1:8" x14ac:dyDescent="0.25">
      <c r="A881" t="s">
        <v>8</v>
      </c>
      <c r="B881" t="s">
        <v>21</v>
      </c>
      <c r="C881" t="s">
        <v>19</v>
      </c>
      <c r="D881" t="s">
        <v>11</v>
      </c>
      <c r="E881" t="s">
        <v>12</v>
      </c>
      <c r="F881">
        <v>64</v>
      </c>
      <c r="G881">
        <v>76</v>
      </c>
      <c r="H881">
        <v>74</v>
      </c>
    </row>
    <row r="882" spans="1:8" x14ac:dyDescent="0.25">
      <c r="A882" t="s">
        <v>17</v>
      </c>
      <c r="B882" t="s">
        <v>13</v>
      </c>
      <c r="C882" t="s">
        <v>10</v>
      </c>
      <c r="D882" t="s">
        <v>11</v>
      </c>
      <c r="E882" t="s">
        <v>15</v>
      </c>
      <c r="F882">
        <v>63</v>
      </c>
      <c r="G882">
        <v>64</v>
      </c>
      <c r="H882">
        <v>66</v>
      </c>
    </row>
    <row r="883" spans="1:8" x14ac:dyDescent="0.25">
      <c r="A883" t="s">
        <v>8</v>
      </c>
      <c r="B883" t="s">
        <v>24</v>
      </c>
      <c r="C883" t="s">
        <v>10</v>
      </c>
      <c r="D883" t="s">
        <v>11</v>
      </c>
      <c r="E883" t="s">
        <v>15</v>
      </c>
      <c r="F883">
        <v>71</v>
      </c>
      <c r="G883">
        <v>70</v>
      </c>
      <c r="H883">
        <v>70</v>
      </c>
    </row>
    <row r="884" spans="1:8" x14ac:dyDescent="0.25">
      <c r="A884" t="s">
        <v>8</v>
      </c>
      <c r="B884" t="s">
        <v>9</v>
      </c>
      <c r="C884" t="s">
        <v>22</v>
      </c>
      <c r="D884" t="s">
        <v>20</v>
      </c>
      <c r="E884" t="s">
        <v>12</v>
      </c>
      <c r="F884">
        <v>64</v>
      </c>
      <c r="G884">
        <v>73</v>
      </c>
      <c r="H884">
        <v>71</v>
      </c>
    </row>
    <row r="885" spans="1:8" x14ac:dyDescent="0.25">
      <c r="A885" t="s">
        <v>17</v>
      </c>
      <c r="B885" t="s">
        <v>21</v>
      </c>
      <c r="C885" t="s">
        <v>10</v>
      </c>
      <c r="D885" t="s">
        <v>20</v>
      </c>
      <c r="E885" t="s">
        <v>12</v>
      </c>
      <c r="F885">
        <v>55</v>
      </c>
      <c r="G885">
        <v>46</v>
      </c>
      <c r="H885">
        <v>44</v>
      </c>
    </row>
    <row r="886" spans="1:8" x14ac:dyDescent="0.25">
      <c r="A886" t="s">
        <v>8</v>
      </c>
      <c r="B886" t="s">
        <v>24</v>
      </c>
      <c r="C886" t="s">
        <v>19</v>
      </c>
      <c r="D886" t="s">
        <v>11</v>
      </c>
      <c r="E886" t="s">
        <v>12</v>
      </c>
      <c r="F886">
        <v>51</v>
      </c>
      <c r="G886">
        <v>51</v>
      </c>
      <c r="H886">
        <v>54</v>
      </c>
    </row>
    <row r="887" spans="1:8" x14ac:dyDescent="0.25">
      <c r="A887" t="s">
        <v>8</v>
      </c>
      <c r="B887" t="s">
        <v>13</v>
      </c>
      <c r="C887" t="s">
        <v>19</v>
      </c>
      <c r="D887" t="s">
        <v>11</v>
      </c>
      <c r="E887" t="s">
        <v>15</v>
      </c>
      <c r="F887">
        <v>62</v>
      </c>
      <c r="G887">
        <v>76</v>
      </c>
      <c r="H887">
        <v>80</v>
      </c>
    </row>
    <row r="888" spans="1:8" x14ac:dyDescent="0.25">
      <c r="A888" t="s">
        <v>8</v>
      </c>
      <c r="B888" t="s">
        <v>24</v>
      </c>
      <c r="C888" t="s">
        <v>19</v>
      </c>
      <c r="D888" t="s">
        <v>11</v>
      </c>
      <c r="E888" t="s">
        <v>15</v>
      </c>
      <c r="F888">
        <v>93</v>
      </c>
      <c r="G888">
        <v>100</v>
      </c>
      <c r="H888">
        <v>95</v>
      </c>
    </row>
    <row r="889" spans="1:8" x14ac:dyDescent="0.25">
      <c r="A889" t="s">
        <v>17</v>
      </c>
      <c r="B889" t="s">
        <v>13</v>
      </c>
      <c r="C889" t="s">
        <v>22</v>
      </c>
      <c r="D889" t="s">
        <v>20</v>
      </c>
      <c r="E889" t="s">
        <v>12</v>
      </c>
      <c r="F889">
        <v>54</v>
      </c>
      <c r="G889">
        <v>72</v>
      </c>
      <c r="H889">
        <v>59</v>
      </c>
    </row>
    <row r="890" spans="1:8" x14ac:dyDescent="0.25">
      <c r="A890" t="s">
        <v>8</v>
      </c>
      <c r="B890" t="s">
        <v>21</v>
      </c>
      <c r="C890" t="s">
        <v>14</v>
      </c>
      <c r="D890" t="s">
        <v>20</v>
      </c>
      <c r="E890" t="s">
        <v>12</v>
      </c>
      <c r="F890">
        <v>69</v>
      </c>
      <c r="G890">
        <v>65</v>
      </c>
      <c r="H890">
        <v>74</v>
      </c>
    </row>
    <row r="891" spans="1:8" x14ac:dyDescent="0.25">
      <c r="A891" t="s">
        <v>17</v>
      </c>
      <c r="B891" t="s">
        <v>21</v>
      </c>
      <c r="C891" t="s">
        <v>22</v>
      </c>
      <c r="D891" t="s">
        <v>20</v>
      </c>
      <c r="E891" t="s">
        <v>12</v>
      </c>
      <c r="F891">
        <v>44</v>
      </c>
      <c r="G891">
        <v>51</v>
      </c>
      <c r="H891">
        <v>48</v>
      </c>
    </row>
    <row r="892" spans="1:8" x14ac:dyDescent="0.25">
      <c r="A892" t="s">
        <v>8</v>
      </c>
      <c r="B892" t="s">
        <v>24</v>
      </c>
      <c r="C892" t="s">
        <v>14</v>
      </c>
      <c r="D892" t="s">
        <v>11</v>
      </c>
      <c r="E892" t="s">
        <v>15</v>
      </c>
      <c r="F892">
        <v>86</v>
      </c>
      <c r="G892">
        <v>85</v>
      </c>
      <c r="H892">
        <v>91</v>
      </c>
    </row>
    <row r="893" spans="1:8" x14ac:dyDescent="0.25">
      <c r="A893" t="s">
        <v>8</v>
      </c>
      <c r="B893" t="s">
        <v>24</v>
      </c>
      <c r="C893" t="s">
        <v>19</v>
      </c>
      <c r="D893" t="s">
        <v>11</v>
      </c>
      <c r="E893" t="s">
        <v>12</v>
      </c>
      <c r="F893">
        <v>85</v>
      </c>
      <c r="G893">
        <v>92</v>
      </c>
      <c r="H893">
        <v>85</v>
      </c>
    </row>
    <row r="894" spans="1:8" x14ac:dyDescent="0.25">
      <c r="A894" t="s">
        <v>8</v>
      </c>
      <c r="B894" t="s">
        <v>18</v>
      </c>
      <c r="C894" t="s">
        <v>16</v>
      </c>
      <c r="D894" t="s">
        <v>20</v>
      </c>
      <c r="E894" t="s">
        <v>12</v>
      </c>
      <c r="F894">
        <v>50</v>
      </c>
      <c r="G894">
        <v>67</v>
      </c>
      <c r="H894">
        <v>73</v>
      </c>
    </row>
    <row r="895" spans="1:8" x14ac:dyDescent="0.25">
      <c r="A895" t="s">
        <v>17</v>
      </c>
      <c r="B895" t="s">
        <v>21</v>
      </c>
      <c r="C895" t="s">
        <v>23</v>
      </c>
      <c r="D895" t="s">
        <v>11</v>
      </c>
      <c r="E895" t="s">
        <v>15</v>
      </c>
      <c r="F895">
        <v>88</v>
      </c>
      <c r="G895">
        <v>74</v>
      </c>
      <c r="H895">
        <v>75</v>
      </c>
    </row>
    <row r="896" spans="1:8" x14ac:dyDescent="0.25">
      <c r="A896" t="s">
        <v>8</v>
      </c>
      <c r="B896" t="s">
        <v>24</v>
      </c>
      <c r="C896" t="s">
        <v>19</v>
      </c>
      <c r="D896" t="s">
        <v>11</v>
      </c>
      <c r="E896" t="s">
        <v>12</v>
      </c>
      <c r="F896">
        <v>59</v>
      </c>
      <c r="G896">
        <v>62</v>
      </c>
      <c r="H896">
        <v>69</v>
      </c>
    </row>
    <row r="897" spans="1:8" x14ac:dyDescent="0.25">
      <c r="A897" t="s">
        <v>8</v>
      </c>
      <c r="B897" t="s">
        <v>24</v>
      </c>
      <c r="C897" t="s">
        <v>23</v>
      </c>
      <c r="D897" t="s">
        <v>20</v>
      </c>
      <c r="E897" t="s">
        <v>12</v>
      </c>
      <c r="F897">
        <v>32</v>
      </c>
      <c r="G897">
        <v>34</v>
      </c>
      <c r="H897">
        <v>38</v>
      </c>
    </row>
    <row r="898" spans="1:8" x14ac:dyDescent="0.25">
      <c r="A898" t="s">
        <v>17</v>
      </c>
      <c r="B898" t="s">
        <v>9</v>
      </c>
      <c r="C898" t="s">
        <v>22</v>
      </c>
      <c r="D898" t="s">
        <v>20</v>
      </c>
      <c r="E898" t="s">
        <v>12</v>
      </c>
      <c r="F898">
        <v>36</v>
      </c>
      <c r="G898">
        <v>29</v>
      </c>
      <c r="H898">
        <v>27</v>
      </c>
    </row>
    <row r="899" spans="1:8" x14ac:dyDescent="0.25">
      <c r="A899" t="s">
        <v>8</v>
      </c>
      <c r="B899" t="s">
        <v>9</v>
      </c>
      <c r="C899" t="s">
        <v>23</v>
      </c>
      <c r="D899" t="s">
        <v>20</v>
      </c>
      <c r="E899" t="s">
        <v>15</v>
      </c>
      <c r="F899">
        <v>63</v>
      </c>
      <c r="G899">
        <v>78</v>
      </c>
      <c r="H899">
        <v>79</v>
      </c>
    </row>
    <row r="900" spans="1:8" x14ac:dyDescent="0.25">
      <c r="A900" t="s">
        <v>17</v>
      </c>
      <c r="B900" t="s">
        <v>21</v>
      </c>
      <c r="C900" t="s">
        <v>19</v>
      </c>
      <c r="D900" t="s">
        <v>11</v>
      </c>
      <c r="E900" t="s">
        <v>15</v>
      </c>
      <c r="F900">
        <v>67</v>
      </c>
      <c r="G900">
        <v>54</v>
      </c>
      <c r="H900">
        <v>63</v>
      </c>
    </row>
    <row r="901" spans="1:8" x14ac:dyDescent="0.25">
      <c r="A901" t="s">
        <v>8</v>
      </c>
      <c r="B901" t="s">
        <v>21</v>
      </c>
      <c r="C901" t="s">
        <v>23</v>
      </c>
      <c r="D901" t="s">
        <v>11</v>
      </c>
      <c r="E901" t="s">
        <v>15</v>
      </c>
      <c r="F901">
        <v>65</v>
      </c>
      <c r="G901">
        <v>78</v>
      </c>
      <c r="H901">
        <v>82</v>
      </c>
    </row>
    <row r="902" spans="1:8" x14ac:dyDescent="0.25">
      <c r="A902" t="s">
        <v>17</v>
      </c>
      <c r="B902" t="s">
        <v>21</v>
      </c>
      <c r="C902" t="s">
        <v>16</v>
      </c>
      <c r="D902" t="s">
        <v>11</v>
      </c>
      <c r="E902" t="s">
        <v>12</v>
      </c>
      <c r="F902">
        <v>85</v>
      </c>
      <c r="G902">
        <v>84</v>
      </c>
      <c r="H902">
        <v>89</v>
      </c>
    </row>
    <row r="903" spans="1:8" x14ac:dyDescent="0.25">
      <c r="A903" t="s">
        <v>8</v>
      </c>
      <c r="B903" t="s">
        <v>13</v>
      </c>
      <c r="C903" t="s">
        <v>16</v>
      </c>
      <c r="D903" t="s">
        <v>11</v>
      </c>
      <c r="E903" t="s">
        <v>12</v>
      </c>
      <c r="F903">
        <v>73</v>
      </c>
      <c r="G903">
        <v>78</v>
      </c>
      <c r="H903">
        <v>74</v>
      </c>
    </row>
    <row r="904" spans="1:8" x14ac:dyDescent="0.25">
      <c r="A904" t="s">
        <v>8</v>
      </c>
      <c r="B904" t="s">
        <v>18</v>
      </c>
      <c r="C904" t="s">
        <v>22</v>
      </c>
      <c r="D904" t="s">
        <v>20</v>
      </c>
      <c r="E904" t="s">
        <v>15</v>
      </c>
      <c r="F904">
        <v>34</v>
      </c>
      <c r="G904">
        <v>48</v>
      </c>
      <c r="H904">
        <v>41</v>
      </c>
    </row>
    <row r="905" spans="1:8" x14ac:dyDescent="0.25">
      <c r="A905" t="s">
        <v>8</v>
      </c>
      <c r="B905" t="s">
        <v>21</v>
      </c>
      <c r="C905" t="s">
        <v>10</v>
      </c>
      <c r="D905" t="s">
        <v>20</v>
      </c>
      <c r="E905" t="s">
        <v>15</v>
      </c>
      <c r="F905">
        <v>93</v>
      </c>
      <c r="G905">
        <v>100</v>
      </c>
      <c r="H905">
        <v>100</v>
      </c>
    </row>
    <row r="906" spans="1:8" x14ac:dyDescent="0.25">
      <c r="A906" t="s">
        <v>8</v>
      </c>
      <c r="B906" t="s">
        <v>21</v>
      </c>
      <c r="C906" t="s">
        <v>23</v>
      </c>
      <c r="D906" t="s">
        <v>20</v>
      </c>
      <c r="E906" t="s">
        <v>12</v>
      </c>
      <c r="F906">
        <v>67</v>
      </c>
      <c r="G906">
        <v>84</v>
      </c>
      <c r="H906">
        <v>84</v>
      </c>
    </row>
    <row r="907" spans="1:8" x14ac:dyDescent="0.25">
      <c r="A907" t="s">
        <v>17</v>
      </c>
      <c r="B907" t="s">
        <v>21</v>
      </c>
      <c r="C907" t="s">
        <v>14</v>
      </c>
      <c r="D907" t="s">
        <v>11</v>
      </c>
      <c r="E907" t="s">
        <v>12</v>
      </c>
      <c r="F907">
        <v>88</v>
      </c>
      <c r="G907">
        <v>77</v>
      </c>
      <c r="H907">
        <v>77</v>
      </c>
    </row>
    <row r="908" spans="1:8" x14ac:dyDescent="0.25">
      <c r="A908" t="s">
        <v>17</v>
      </c>
      <c r="B908" t="s">
        <v>9</v>
      </c>
      <c r="C908" t="s">
        <v>22</v>
      </c>
      <c r="D908" t="s">
        <v>11</v>
      </c>
      <c r="E908" t="s">
        <v>12</v>
      </c>
      <c r="F908">
        <v>57</v>
      </c>
      <c r="G908">
        <v>48</v>
      </c>
      <c r="H908">
        <v>51</v>
      </c>
    </row>
    <row r="909" spans="1:8" x14ac:dyDescent="0.25">
      <c r="A909" t="s">
        <v>8</v>
      </c>
      <c r="B909" t="s">
        <v>21</v>
      </c>
      <c r="C909" t="s">
        <v>14</v>
      </c>
      <c r="D909" t="s">
        <v>11</v>
      </c>
      <c r="E909" t="s">
        <v>15</v>
      </c>
      <c r="F909">
        <v>79</v>
      </c>
      <c r="G909">
        <v>84</v>
      </c>
      <c r="H909">
        <v>91</v>
      </c>
    </row>
    <row r="910" spans="1:8" x14ac:dyDescent="0.25">
      <c r="A910" t="s">
        <v>8</v>
      </c>
      <c r="B910" t="s">
        <v>13</v>
      </c>
      <c r="C910" t="s">
        <v>10</v>
      </c>
      <c r="D910" t="s">
        <v>20</v>
      </c>
      <c r="E910" t="s">
        <v>12</v>
      </c>
      <c r="F910">
        <v>67</v>
      </c>
      <c r="G910">
        <v>75</v>
      </c>
      <c r="H910">
        <v>72</v>
      </c>
    </row>
    <row r="911" spans="1:8" x14ac:dyDescent="0.25">
      <c r="A911" t="s">
        <v>17</v>
      </c>
      <c r="B911" t="s">
        <v>24</v>
      </c>
      <c r="C911" t="s">
        <v>10</v>
      </c>
      <c r="D911" t="s">
        <v>11</v>
      </c>
      <c r="E911" t="s">
        <v>15</v>
      </c>
      <c r="F911">
        <v>70</v>
      </c>
      <c r="G911">
        <v>64</v>
      </c>
      <c r="H911">
        <v>70</v>
      </c>
    </row>
    <row r="912" spans="1:8" x14ac:dyDescent="0.25">
      <c r="A912" t="s">
        <v>17</v>
      </c>
      <c r="B912" t="s">
        <v>21</v>
      </c>
      <c r="C912" t="s">
        <v>10</v>
      </c>
      <c r="D912" t="s">
        <v>20</v>
      </c>
      <c r="E912" t="s">
        <v>12</v>
      </c>
      <c r="F912">
        <v>50</v>
      </c>
      <c r="G912">
        <v>42</v>
      </c>
      <c r="H912">
        <v>48</v>
      </c>
    </row>
    <row r="913" spans="1:8" x14ac:dyDescent="0.25">
      <c r="A913" t="s">
        <v>8</v>
      </c>
      <c r="B913" t="s">
        <v>18</v>
      </c>
      <c r="C913" t="s">
        <v>14</v>
      </c>
      <c r="D913" t="s">
        <v>11</v>
      </c>
      <c r="E913" t="s">
        <v>12</v>
      </c>
      <c r="F913">
        <v>69</v>
      </c>
      <c r="G913">
        <v>84</v>
      </c>
      <c r="H913">
        <v>82</v>
      </c>
    </row>
    <row r="914" spans="1:8" x14ac:dyDescent="0.25">
      <c r="A914" t="s">
        <v>8</v>
      </c>
      <c r="B914" t="s">
        <v>13</v>
      </c>
      <c r="C914" t="s">
        <v>10</v>
      </c>
      <c r="D914" t="s">
        <v>11</v>
      </c>
      <c r="E914" t="s">
        <v>15</v>
      </c>
      <c r="F914">
        <v>52</v>
      </c>
      <c r="G914">
        <v>61</v>
      </c>
      <c r="H914">
        <v>66</v>
      </c>
    </row>
    <row r="915" spans="1:8" x14ac:dyDescent="0.25">
      <c r="A915" t="s">
        <v>8</v>
      </c>
      <c r="B915" t="s">
        <v>13</v>
      </c>
      <c r="C915" t="s">
        <v>10</v>
      </c>
      <c r="D915" t="s">
        <v>20</v>
      </c>
      <c r="E915" t="s">
        <v>15</v>
      </c>
      <c r="F915">
        <v>47</v>
      </c>
      <c r="G915">
        <v>62</v>
      </c>
      <c r="H915">
        <v>66</v>
      </c>
    </row>
    <row r="916" spans="1:8" x14ac:dyDescent="0.25">
      <c r="A916" t="s">
        <v>8</v>
      </c>
      <c r="B916" t="s">
        <v>9</v>
      </c>
      <c r="C916" t="s">
        <v>19</v>
      </c>
      <c r="D916" t="s">
        <v>20</v>
      </c>
      <c r="E916" t="s">
        <v>12</v>
      </c>
      <c r="F916">
        <v>46</v>
      </c>
      <c r="G916">
        <v>61</v>
      </c>
      <c r="H916">
        <v>55</v>
      </c>
    </row>
    <row r="917" spans="1:8" x14ac:dyDescent="0.25">
      <c r="A917" t="s">
        <v>8</v>
      </c>
      <c r="B917" t="s">
        <v>24</v>
      </c>
      <c r="C917" t="s">
        <v>14</v>
      </c>
      <c r="D917" t="s">
        <v>11</v>
      </c>
      <c r="E917" t="s">
        <v>12</v>
      </c>
      <c r="F917">
        <v>68</v>
      </c>
      <c r="G917">
        <v>70</v>
      </c>
      <c r="H917">
        <v>66</v>
      </c>
    </row>
    <row r="918" spans="1:8" x14ac:dyDescent="0.25">
      <c r="A918" t="s">
        <v>17</v>
      </c>
      <c r="B918" t="s">
        <v>24</v>
      </c>
      <c r="C918" t="s">
        <v>10</v>
      </c>
      <c r="D918" t="s">
        <v>11</v>
      </c>
      <c r="E918" t="s">
        <v>15</v>
      </c>
      <c r="F918">
        <v>100</v>
      </c>
      <c r="G918">
        <v>100</v>
      </c>
      <c r="H918">
        <v>100</v>
      </c>
    </row>
    <row r="919" spans="1:8" x14ac:dyDescent="0.25">
      <c r="A919" t="s">
        <v>8</v>
      </c>
      <c r="B919" t="s">
        <v>13</v>
      </c>
      <c r="C919" t="s">
        <v>22</v>
      </c>
      <c r="D919" t="s">
        <v>11</v>
      </c>
      <c r="E919" t="s">
        <v>12</v>
      </c>
      <c r="F919">
        <v>44</v>
      </c>
      <c r="G919">
        <v>61</v>
      </c>
      <c r="H919">
        <v>52</v>
      </c>
    </row>
    <row r="920" spans="1:8" x14ac:dyDescent="0.25">
      <c r="A920" t="s">
        <v>8</v>
      </c>
      <c r="B920" t="s">
        <v>13</v>
      </c>
      <c r="C920" t="s">
        <v>19</v>
      </c>
      <c r="D920" t="s">
        <v>11</v>
      </c>
      <c r="E920" t="s">
        <v>15</v>
      </c>
      <c r="F920">
        <v>57</v>
      </c>
      <c r="G920">
        <v>77</v>
      </c>
      <c r="H920">
        <v>80</v>
      </c>
    </row>
    <row r="921" spans="1:8" x14ac:dyDescent="0.25">
      <c r="A921" t="s">
        <v>17</v>
      </c>
      <c r="B921" t="s">
        <v>9</v>
      </c>
      <c r="C921" t="s">
        <v>14</v>
      </c>
      <c r="D921" t="s">
        <v>11</v>
      </c>
      <c r="E921" t="s">
        <v>15</v>
      </c>
      <c r="F921">
        <v>91</v>
      </c>
      <c r="G921">
        <v>96</v>
      </c>
      <c r="H921">
        <v>91</v>
      </c>
    </row>
    <row r="922" spans="1:8" x14ac:dyDescent="0.25">
      <c r="A922" t="s">
        <v>17</v>
      </c>
      <c r="B922" t="s">
        <v>21</v>
      </c>
      <c r="C922" t="s">
        <v>22</v>
      </c>
      <c r="D922" t="s">
        <v>20</v>
      </c>
      <c r="E922" t="s">
        <v>12</v>
      </c>
      <c r="F922">
        <v>69</v>
      </c>
      <c r="G922">
        <v>70</v>
      </c>
      <c r="H922">
        <v>67</v>
      </c>
    </row>
    <row r="923" spans="1:8" x14ac:dyDescent="0.25">
      <c r="A923" t="s">
        <v>8</v>
      </c>
      <c r="B923" t="s">
        <v>13</v>
      </c>
      <c r="C923" t="s">
        <v>22</v>
      </c>
      <c r="D923" t="s">
        <v>20</v>
      </c>
      <c r="E923" t="s">
        <v>12</v>
      </c>
      <c r="F923">
        <v>35</v>
      </c>
      <c r="G923">
        <v>53</v>
      </c>
      <c r="H923">
        <v>46</v>
      </c>
    </row>
    <row r="924" spans="1:8" x14ac:dyDescent="0.25">
      <c r="A924" t="s">
        <v>17</v>
      </c>
      <c r="B924" t="s">
        <v>21</v>
      </c>
      <c r="C924" t="s">
        <v>22</v>
      </c>
      <c r="D924" t="s">
        <v>11</v>
      </c>
      <c r="E924" t="s">
        <v>12</v>
      </c>
      <c r="F924">
        <v>72</v>
      </c>
      <c r="G924">
        <v>66</v>
      </c>
      <c r="H924">
        <v>66</v>
      </c>
    </row>
    <row r="925" spans="1:8" x14ac:dyDescent="0.25">
      <c r="A925" t="s">
        <v>8</v>
      </c>
      <c r="B925" t="s">
        <v>9</v>
      </c>
      <c r="C925" t="s">
        <v>19</v>
      </c>
      <c r="D925" t="s">
        <v>20</v>
      </c>
      <c r="E925" t="s">
        <v>12</v>
      </c>
      <c r="F925">
        <v>54</v>
      </c>
      <c r="G925">
        <v>65</v>
      </c>
      <c r="H925">
        <v>65</v>
      </c>
    </row>
    <row r="926" spans="1:8" x14ac:dyDescent="0.25">
      <c r="A926" t="s">
        <v>17</v>
      </c>
      <c r="B926" t="s">
        <v>21</v>
      </c>
      <c r="C926" t="s">
        <v>22</v>
      </c>
      <c r="D926" t="s">
        <v>20</v>
      </c>
      <c r="E926" t="s">
        <v>12</v>
      </c>
      <c r="F926">
        <v>74</v>
      </c>
      <c r="G926">
        <v>70</v>
      </c>
      <c r="H926">
        <v>69</v>
      </c>
    </row>
    <row r="927" spans="1:8" x14ac:dyDescent="0.25">
      <c r="A927" t="s">
        <v>17</v>
      </c>
      <c r="B927" t="s">
        <v>24</v>
      </c>
      <c r="C927" t="s">
        <v>23</v>
      </c>
      <c r="D927" t="s">
        <v>11</v>
      </c>
      <c r="E927" t="s">
        <v>15</v>
      </c>
      <c r="F927">
        <v>74</v>
      </c>
      <c r="G927">
        <v>64</v>
      </c>
      <c r="H927">
        <v>60</v>
      </c>
    </row>
    <row r="928" spans="1:8" x14ac:dyDescent="0.25">
      <c r="A928" t="s">
        <v>17</v>
      </c>
      <c r="B928" t="s">
        <v>24</v>
      </c>
      <c r="C928" t="s">
        <v>19</v>
      </c>
      <c r="D928" t="s">
        <v>20</v>
      </c>
      <c r="E928" t="s">
        <v>12</v>
      </c>
      <c r="F928">
        <v>64</v>
      </c>
      <c r="G928">
        <v>56</v>
      </c>
      <c r="H928">
        <v>52</v>
      </c>
    </row>
    <row r="929" spans="1:8" x14ac:dyDescent="0.25">
      <c r="A929" t="s">
        <v>8</v>
      </c>
      <c r="B929" t="s">
        <v>21</v>
      </c>
      <c r="C929" t="s">
        <v>22</v>
      </c>
      <c r="D929" t="s">
        <v>20</v>
      </c>
      <c r="E929" t="s">
        <v>15</v>
      </c>
      <c r="F929">
        <v>65</v>
      </c>
      <c r="G929">
        <v>61</v>
      </c>
      <c r="H929">
        <v>71</v>
      </c>
    </row>
    <row r="930" spans="1:8" x14ac:dyDescent="0.25">
      <c r="A930" t="s">
        <v>17</v>
      </c>
      <c r="B930" t="s">
        <v>24</v>
      </c>
      <c r="C930" t="s">
        <v>19</v>
      </c>
      <c r="D930" t="s">
        <v>20</v>
      </c>
      <c r="E930" t="s">
        <v>15</v>
      </c>
      <c r="F930">
        <v>46</v>
      </c>
      <c r="G930">
        <v>43</v>
      </c>
      <c r="H930">
        <v>44</v>
      </c>
    </row>
    <row r="931" spans="1:8" x14ac:dyDescent="0.25">
      <c r="A931" t="s">
        <v>8</v>
      </c>
      <c r="B931" t="s">
        <v>13</v>
      </c>
      <c r="C931" t="s">
        <v>23</v>
      </c>
      <c r="D931" t="s">
        <v>20</v>
      </c>
      <c r="E931" t="s">
        <v>12</v>
      </c>
      <c r="F931">
        <v>48</v>
      </c>
      <c r="G931">
        <v>56</v>
      </c>
      <c r="H931">
        <v>51</v>
      </c>
    </row>
    <row r="932" spans="1:8" x14ac:dyDescent="0.25">
      <c r="A932" t="s">
        <v>17</v>
      </c>
      <c r="B932" t="s">
        <v>13</v>
      </c>
      <c r="C932" t="s">
        <v>14</v>
      </c>
      <c r="D932" t="s">
        <v>20</v>
      </c>
      <c r="E932" t="s">
        <v>15</v>
      </c>
      <c r="F932">
        <v>67</v>
      </c>
      <c r="G932">
        <v>74</v>
      </c>
      <c r="H932">
        <v>70</v>
      </c>
    </row>
    <row r="933" spans="1:8" x14ac:dyDescent="0.25">
      <c r="A933" t="s">
        <v>17</v>
      </c>
      <c r="B933" t="s">
        <v>21</v>
      </c>
      <c r="C933" t="s">
        <v>14</v>
      </c>
      <c r="D933" t="s">
        <v>20</v>
      </c>
      <c r="E933" t="s">
        <v>12</v>
      </c>
      <c r="F933">
        <v>62</v>
      </c>
      <c r="G933">
        <v>57</v>
      </c>
      <c r="H933">
        <v>62</v>
      </c>
    </row>
    <row r="934" spans="1:8" x14ac:dyDescent="0.25">
      <c r="A934" t="s">
        <v>17</v>
      </c>
      <c r="B934" t="s">
        <v>21</v>
      </c>
      <c r="C934" t="s">
        <v>19</v>
      </c>
      <c r="D934" t="s">
        <v>20</v>
      </c>
      <c r="E934" t="s">
        <v>15</v>
      </c>
      <c r="F934">
        <v>61</v>
      </c>
      <c r="G934">
        <v>71</v>
      </c>
      <c r="H934">
        <v>73</v>
      </c>
    </row>
    <row r="935" spans="1:8" x14ac:dyDescent="0.25">
      <c r="A935" t="s">
        <v>17</v>
      </c>
      <c r="B935" t="s">
        <v>13</v>
      </c>
      <c r="C935" t="s">
        <v>10</v>
      </c>
      <c r="D935" t="s">
        <v>20</v>
      </c>
      <c r="E935" t="s">
        <v>15</v>
      </c>
      <c r="F935">
        <v>70</v>
      </c>
      <c r="G935">
        <v>75</v>
      </c>
      <c r="H935">
        <v>74</v>
      </c>
    </row>
    <row r="936" spans="1:8" x14ac:dyDescent="0.25">
      <c r="A936" t="s">
        <v>17</v>
      </c>
      <c r="B936" t="s">
        <v>13</v>
      </c>
      <c r="C936" t="s">
        <v>19</v>
      </c>
      <c r="D936" t="s">
        <v>11</v>
      </c>
      <c r="E936" t="s">
        <v>15</v>
      </c>
      <c r="F936">
        <v>98</v>
      </c>
      <c r="G936">
        <v>87</v>
      </c>
      <c r="H936">
        <v>90</v>
      </c>
    </row>
    <row r="937" spans="1:8" x14ac:dyDescent="0.25">
      <c r="A937" t="s">
        <v>17</v>
      </c>
      <c r="B937" t="s">
        <v>21</v>
      </c>
      <c r="C937" t="s">
        <v>14</v>
      </c>
      <c r="D937" t="s">
        <v>20</v>
      </c>
      <c r="E937" t="s">
        <v>12</v>
      </c>
      <c r="F937">
        <v>70</v>
      </c>
      <c r="G937">
        <v>63</v>
      </c>
      <c r="H937">
        <v>58</v>
      </c>
    </row>
    <row r="938" spans="1:8" x14ac:dyDescent="0.25">
      <c r="A938" t="s">
        <v>17</v>
      </c>
      <c r="B938" t="s">
        <v>18</v>
      </c>
      <c r="C938" t="s">
        <v>19</v>
      </c>
      <c r="D938" t="s">
        <v>11</v>
      </c>
      <c r="E938" t="s">
        <v>12</v>
      </c>
      <c r="F938">
        <v>67</v>
      </c>
      <c r="G938">
        <v>57</v>
      </c>
      <c r="H938">
        <v>53</v>
      </c>
    </row>
    <row r="939" spans="1:8" x14ac:dyDescent="0.25">
      <c r="A939" t="s">
        <v>8</v>
      </c>
      <c r="B939" t="s">
        <v>24</v>
      </c>
      <c r="C939" t="s">
        <v>22</v>
      </c>
      <c r="D939" t="s">
        <v>20</v>
      </c>
      <c r="E939" t="s">
        <v>12</v>
      </c>
      <c r="F939">
        <v>57</v>
      </c>
      <c r="G939">
        <v>58</v>
      </c>
      <c r="H939">
        <v>57</v>
      </c>
    </row>
    <row r="940" spans="1:8" x14ac:dyDescent="0.25">
      <c r="A940" t="s">
        <v>17</v>
      </c>
      <c r="B940" t="s">
        <v>21</v>
      </c>
      <c r="C940" t="s">
        <v>14</v>
      </c>
      <c r="D940" t="s">
        <v>11</v>
      </c>
      <c r="E940" t="s">
        <v>15</v>
      </c>
      <c r="F940">
        <v>85</v>
      </c>
      <c r="G940">
        <v>81</v>
      </c>
      <c r="H940">
        <v>85</v>
      </c>
    </row>
    <row r="941" spans="1:8" x14ac:dyDescent="0.25">
      <c r="A941" t="s">
        <v>17</v>
      </c>
      <c r="B941" t="s">
        <v>21</v>
      </c>
      <c r="C941" t="s">
        <v>23</v>
      </c>
      <c r="D941" t="s">
        <v>11</v>
      </c>
      <c r="E941" t="s">
        <v>15</v>
      </c>
      <c r="F941">
        <v>77</v>
      </c>
      <c r="G941">
        <v>68</v>
      </c>
      <c r="H941">
        <v>69</v>
      </c>
    </row>
    <row r="942" spans="1:8" x14ac:dyDescent="0.25">
      <c r="A942" t="s">
        <v>17</v>
      </c>
      <c r="B942" t="s">
        <v>13</v>
      </c>
      <c r="C942" t="s">
        <v>16</v>
      </c>
      <c r="D942" t="s">
        <v>20</v>
      </c>
      <c r="E942" t="s">
        <v>15</v>
      </c>
      <c r="F942">
        <v>72</v>
      </c>
      <c r="G942">
        <v>66</v>
      </c>
      <c r="H942">
        <v>72</v>
      </c>
    </row>
    <row r="943" spans="1:8" x14ac:dyDescent="0.25">
      <c r="A943" t="s">
        <v>8</v>
      </c>
      <c r="B943" t="s">
        <v>21</v>
      </c>
      <c r="C943" t="s">
        <v>16</v>
      </c>
      <c r="D943" t="s">
        <v>11</v>
      </c>
      <c r="E943" t="s">
        <v>12</v>
      </c>
      <c r="F943">
        <v>78</v>
      </c>
      <c r="G943">
        <v>91</v>
      </c>
      <c r="H943">
        <v>96</v>
      </c>
    </row>
    <row r="944" spans="1:8" x14ac:dyDescent="0.25">
      <c r="A944" t="s">
        <v>17</v>
      </c>
      <c r="B944" t="s">
        <v>13</v>
      </c>
      <c r="C944" t="s">
        <v>22</v>
      </c>
      <c r="D944" t="s">
        <v>11</v>
      </c>
      <c r="E944" t="s">
        <v>12</v>
      </c>
      <c r="F944">
        <v>81</v>
      </c>
      <c r="G944">
        <v>66</v>
      </c>
      <c r="H944">
        <v>64</v>
      </c>
    </row>
    <row r="945" spans="1:8" x14ac:dyDescent="0.25">
      <c r="A945" t="s">
        <v>17</v>
      </c>
      <c r="B945" t="s">
        <v>18</v>
      </c>
      <c r="C945" t="s">
        <v>23</v>
      </c>
      <c r="D945" t="s">
        <v>20</v>
      </c>
      <c r="E945" t="s">
        <v>15</v>
      </c>
      <c r="F945">
        <v>61</v>
      </c>
      <c r="G945">
        <v>62</v>
      </c>
      <c r="H945">
        <v>61</v>
      </c>
    </row>
    <row r="946" spans="1:8" x14ac:dyDescent="0.25">
      <c r="A946" t="s">
        <v>8</v>
      </c>
      <c r="B946" t="s">
        <v>9</v>
      </c>
      <c r="C946" t="s">
        <v>22</v>
      </c>
      <c r="D946" t="s">
        <v>11</v>
      </c>
      <c r="E946" t="s">
        <v>12</v>
      </c>
      <c r="F946">
        <v>58</v>
      </c>
      <c r="G946">
        <v>68</v>
      </c>
      <c r="H946">
        <v>61</v>
      </c>
    </row>
    <row r="947" spans="1:8" x14ac:dyDescent="0.25">
      <c r="A947" t="s">
        <v>8</v>
      </c>
      <c r="B947" t="s">
        <v>13</v>
      </c>
      <c r="C947" t="s">
        <v>19</v>
      </c>
      <c r="D947" t="s">
        <v>11</v>
      </c>
      <c r="E947" t="s">
        <v>12</v>
      </c>
      <c r="F947">
        <v>54</v>
      </c>
      <c r="G947">
        <v>61</v>
      </c>
      <c r="H947">
        <v>58</v>
      </c>
    </row>
    <row r="948" spans="1:8" x14ac:dyDescent="0.25">
      <c r="A948" t="s">
        <v>17</v>
      </c>
      <c r="B948" t="s">
        <v>9</v>
      </c>
      <c r="C948" t="s">
        <v>22</v>
      </c>
      <c r="D948" t="s">
        <v>11</v>
      </c>
      <c r="E948" t="s">
        <v>12</v>
      </c>
      <c r="F948">
        <v>82</v>
      </c>
      <c r="G948">
        <v>82</v>
      </c>
      <c r="H948">
        <v>80</v>
      </c>
    </row>
    <row r="949" spans="1:8" x14ac:dyDescent="0.25">
      <c r="A949" t="s">
        <v>8</v>
      </c>
      <c r="B949" t="s">
        <v>21</v>
      </c>
      <c r="C949" t="s">
        <v>14</v>
      </c>
      <c r="D949" t="s">
        <v>20</v>
      </c>
      <c r="E949" t="s">
        <v>12</v>
      </c>
      <c r="F949">
        <v>49</v>
      </c>
      <c r="G949">
        <v>58</v>
      </c>
      <c r="H949">
        <v>60</v>
      </c>
    </row>
    <row r="950" spans="1:8" x14ac:dyDescent="0.25">
      <c r="A950" t="s">
        <v>17</v>
      </c>
      <c r="B950" t="s">
        <v>9</v>
      </c>
      <c r="C950" t="s">
        <v>23</v>
      </c>
      <c r="D950" t="s">
        <v>20</v>
      </c>
      <c r="E950" t="s">
        <v>15</v>
      </c>
      <c r="F950">
        <v>49</v>
      </c>
      <c r="G950">
        <v>50</v>
      </c>
      <c r="H950">
        <v>52</v>
      </c>
    </row>
    <row r="951" spans="1:8" x14ac:dyDescent="0.25">
      <c r="A951" t="s">
        <v>8</v>
      </c>
      <c r="B951" t="s">
        <v>24</v>
      </c>
      <c r="C951" t="s">
        <v>22</v>
      </c>
      <c r="D951" t="s">
        <v>20</v>
      </c>
      <c r="E951" t="s">
        <v>15</v>
      </c>
      <c r="F951">
        <v>57</v>
      </c>
      <c r="G951">
        <v>75</v>
      </c>
      <c r="H951">
        <v>73</v>
      </c>
    </row>
    <row r="952" spans="1:8" x14ac:dyDescent="0.25">
      <c r="A952" t="s">
        <v>17</v>
      </c>
      <c r="B952" t="s">
        <v>24</v>
      </c>
      <c r="C952" t="s">
        <v>22</v>
      </c>
      <c r="D952" t="s">
        <v>11</v>
      </c>
      <c r="E952" t="s">
        <v>12</v>
      </c>
      <c r="F952">
        <v>94</v>
      </c>
      <c r="G952">
        <v>73</v>
      </c>
      <c r="H952">
        <v>71</v>
      </c>
    </row>
    <row r="953" spans="1:8" x14ac:dyDescent="0.25">
      <c r="A953" t="s">
        <v>8</v>
      </c>
      <c r="B953" t="s">
        <v>21</v>
      </c>
      <c r="C953" t="s">
        <v>14</v>
      </c>
      <c r="D953" t="s">
        <v>11</v>
      </c>
      <c r="E953" t="s">
        <v>15</v>
      </c>
      <c r="F953">
        <v>75</v>
      </c>
      <c r="G953">
        <v>77</v>
      </c>
      <c r="H953">
        <v>83</v>
      </c>
    </row>
    <row r="954" spans="1:8" x14ac:dyDescent="0.25">
      <c r="A954" t="s">
        <v>8</v>
      </c>
      <c r="B954" t="s">
        <v>24</v>
      </c>
      <c r="C954" t="s">
        <v>23</v>
      </c>
      <c r="D954" t="s">
        <v>20</v>
      </c>
      <c r="E954" t="s">
        <v>12</v>
      </c>
      <c r="F954">
        <v>74</v>
      </c>
      <c r="G954">
        <v>74</v>
      </c>
      <c r="H954">
        <v>72</v>
      </c>
    </row>
    <row r="955" spans="1:8" x14ac:dyDescent="0.25">
      <c r="A955" t="s">
        <v>17</v>
      </c>
      <c r="B955" t="s">
        <v>13</v>
      </c>
      <c r="C955" t="s">
        <v>22</v>
      </c>
      <c r="D955" t="s">
        <v>11</v>
      </c>
      <c r="E955" t="s">
        <v>15</v>
      </c>
      <c r="F955">
        <v>58</v>
      </c>
      <c r="G955">
        <v>52</v>
      </c>
      <c r="H955">
        <v>54</v>
      </c>
    </row>
    <row r="956" spans="1:8" x14ac:dyDescent="0.25">
      <c r="A956" t="s">
        <v>8</v>
      </c>
      <c r="B956" t="s">
        <v>13</v>
      </c>
      <c r="C956" t="s">
        <v>14</v>
      </c>
      <c r="D956" t="s">
        <v>11</v>
      </c>
      <c r="E956" t="s">
        <v>12</v>
      </c>
      <c r="F956">
        <v>62</v>
      </c>
      <c r="G956">
        <v>69</v>
      </c>
      <c r="H956">
        <v>69</v>
      </c>
    </row>
    <row r="957" spans="1:8" x14ac:dyDescent="0.25">
      <c r="A957" t="s">
        <v>17</v>
      </c>
      <c r="B957" t="s">
        <v>24</v>
      </c>
      <c r="C957" t="s">
        <v>19</v>
      </c>
      <c r="D957" t="s">
        <v>11</v>
      </c>
      <c r="E957" t="s">
        <v>12</v>
      </c>
      <c r="F957">
        <v>72</v>
      </c>
      <c r="G957">
        <v>57</v>
      </c>
      <c r="H957">
        <v>62</v>
      </c>
    </row>
    <row r="958" spans="1:8" x14ac:dyDescent="0.25">
      <c r="A958" t="s">
        <v>17</v>
      </c>
      <c r="B958" t="s">
        <v>13</v>
      </c>
      <c r="C958" t="s">
        <v>14</v>
      </c>
      <c r="D958" t="s">
        <v>11</v>
      </c>
      <c r="E958" t="s">
        <v>12</v>
      </c>
      <c r="F958">
        <v>84</v>
      </c>
      <c r="G958">
        <v>87</v>
      </c>
      <c r="H958">
        <v>81</v>
      </c>
    </row>
    <row r="959" spans="1:8" x14ac:dyDescent="0.25">
      <c r="A959" t="s">
        <v>8</v>
      </c>
      <c r="B959" t="s">
        <v>21</v>
      </c>
      <c r="C959" t="s">
        <v>16</v>
      </c>
      <c r="D959" t="s">
        <v>11</v>
      </c>
      <c r="E959" t="s">
        <v>12</v>
      </c>
      <c r="F959">
        <v>92</v>
      </c>
      <c r="G959">
        <v>100</v>
      </c>
      <c r="H959">
        <v>100</v>
      </c>
    </row>
    <row r="960" spans="1:8" x14ac:dyDescent="0.25">
      <c r="A960" t="s">
        <v>8</v>
      </c>
      <c r="B960" t="s">
        <v>21</v>
      </c>
      <c r="C960" t="s">
        <v>22</v>
      </c>
      <c r="D960" t="s">
        <v>11</v>
      </c>
      <c r="E960" t="s">
        <v>12</v>
      </c>
      <c r="F960">
        <v>45</v>
      </c>
      <c r="G960">
        <v>63</v>
      </c>
      <c r="H960">
        <v>59</v>
      </c>
    </row>
    <row r="961" spans="1:8" x14ac:dyDescent="0.25">
      <c r="A961" t="s">
        <v>17</v>
      </c>
      <c r="B961" t="s">
        <v>13</v>
      </c>
      <c r="C961" t="s">
        <v>22</v>
      </c>
      <c r="D961" t="s">
        <v>11</v>
      </c>
      <c r="E961" t="s">
        <v>12</v>
      </c>
      <c r="F961">
        <v>75</v>
      </c>
      <c r="G961">
        <v>81</v>
      </c>
      <c r="H961">
        <v>71</v>
      </c>
    </row>
    <row r="962" spans="1:8" x14ac:dyDescent="0.25">
      <c r="A962" t="s">
        <v>8</v>
      </c>
      <c r="B962" t="s">
        <v>18</v>
      </c>
      <c r="C962" t="s">
        <v>14</v>
      </c>
      <c r="D962" t="s">
        <v>11</v>
      </c>
      <c r="E962" t="s">
        <v>12</v>
      </c>
      <c r="F962">
        <v>56</v>
      </c>
      <c r="G962">
        <v>58</v>
      </c>
      <c r="H962">
        <v>64</v>
      </c>
    </row>
    <row r="963" spans="1:8" x14ac:dyDescent="0.25">
      <c r="A963" t="s">
        <v>8</v>
      </c>
      <c r="B963" t="s">
        <v>21</v>
      </c>
      <c r="C963" t="s">
        <v>23</v>
      </c>
      <c r="D963" t="s">
        <v>20</v>
      </c>
      <c r="E963" t="s">
        <v>12</v>
      </c>
      <c r="F963">
        <v>48</v>
      </c>
      <c r="G963">
        <v>54</v>
      </c>
      <c r="H963">
        <v>53</v>
      </c>
    </row>
    <row r="964" spans="1:8" x14ac:dyDescent="0.25">
      <c r="A964" t="s">
        <v>8</v>
      </c>
      <c r="B964" t="s">
        <v>24</v>
      </c>
      <c r="C964" t="s">
        <v>19</v>
      </c>
      <c r="D964" t="s">
        <v>11</v>
      </c>
      <c r="E964" t="s">
        <v>12</v>
      </c>
      <c r="F964">
        <v>100</v>
      </c>
      <c r="G964">
        <v>100</v>
      </c>
      <c r="H964">
        <v>100</v>
      </c>
    </row>
    <row r="965" spans="1:8" x14ac:dyDescent="0.25">
      <c r="A965" t="s">
        <v>8</v>
      </c>
      <c r="B965" t="s">
        <v>13</v>
      </c>
      <c r="C965" t="s">
        <v>23</v>
      </c>
      <c r="D965" t="s">
        <v>20</v>
      </c>
      <c r="E965" t="s">
        <v>15</v>
      </c>
      <c r="F965">
        <v>65</v>
      </c>
      <c r="G965">
        <v>76</v>
      </c>
      <c r="H965">
        <v>75</v>
      </c>
    </row>
    <row r="966" spans="1:8" x14ac:dyDescent="0.25">
      <c r="A966" t="s">
        <v>17</v>
      </c>
      <c r="B966" t="s">
        <v>21</v>
      </c>
      <c r="C966" t="s">
        <v>14</v>
      </c>
      <c r="D966" t="s">
        <v>11</v>
      </c>
      <c r="E966" t="s">
        <v>12</v>
      </c>
      <c r="F966">
        <v>72</v>
      </c>
      <c r="G966">
        <v>57</v>
      </c>
      <c r="H966">
        <v>58</v>
      </c>
    </row>
    <row r="967" spans="1:8" x14ac:dyDescent="0.25">
      <c r="A967" t="s">
        <v>8</v>
      </c>
      <c r="B967" t="s">
        <v>21</v>
      </c>
      <c r="C967" t="s">
        <v>14</v>
      </c>
      <c r="D967" t="s">
        <v>11</v>
      </c>
      <c r="E967" t="s">
        <v>12</v>
      </c>
      <c r="F967">
        <v>62</v>
      </c>
      <c r="G967">
        <v>70</v>
      </c>
      <c r="H967">
        <v>72</v>
      </c>
    </row>
    <row r="968" spans="1:8" x14ac:dyDescent="0.25">
      <c r="A968" t="s">
        <v>17</v>
      </c>
      <c r="B968" t="s">
        <v>18</v>
      </c>
      <c r="C968" t="s">
        <v>23</v>
      </c>
      <c r="D968" t="s">
        <v>11</v>
      </c>
      <c r="E968" t="s">
        <v>15</v>
      </c>
      <c r="F968">
        <v>66</v>
      </c>
      <c r="G968">
        <v>68</v>
      </c>
      <c r="H968">
        <v>64</v>
      </c>
    </row>
    <row r="969" spans="1:8" x14ac:dyDescent="0.25">
      <c r="A969" t="s">
        <v>17</v>
      </c>
      <c r="B969" t="s">
        <v>13</v>
      </c>
      <c r="C969" t="s">
        <v>14</v>
      </c>
      <c r="D969" t="s">
        <v>11</v>
      </c>
      <c r="E969" t="s">
        <v>12</v>
      </c>
      <c r="F969">
        <v>63</v>
      </c>
      <c r="G969">
        <v>63</v>
      </c>
      <c r="H969">
        <v>60</v>
      </c>
    </row>
    <row r="970" spans="1:8" x14ac:dyDescent="0.25">
      <c r="A970" t="s">
        <v>8</v>
      </c>
      <c r="B970" t="s">
        <v>24</v>
      </c>
      <c r="C970" t="s">
        <v>19</v>
      </c>
      <c r="D970" t="s">
        <v>11</v>
      </c>
      <c r="E970" t="s">
        <v>12</v>
      </c>
      <c r="F970">
        <v>68</v>
      </c>
      <c r="G970">
        <v>76</v>
      </c>
      <c r="H970">
        <v>67</v>
      </c>
    </row>
    <row r="971" spans="1:8" x14ac:dyDescent="0.25">
      <c r="A971" t="s">
        <v>8</v>
      </c>
      <c r="B971" t="s">
        <v>9</v>
      </c>
      <c r="C971" t="s">
        <v>10</v>
      </c>
      <c r="D971" t="s">
        <v>11</v>
      </c>
      <c r="E971" t="s">
        <v>12</v>
      </c>
      <c r="F971">
        <v>75</v>
      </c>
      <c r="G971">
        <v>84</v>
      </c>
      <c r="H971">
        <v>80</v>
      </c>
    </row>
    <row r="972" spans="1:8" x14ac:dyDescent="0.25">
      <c r="A972" t="s">
        <v>8</v>
      </c>
      <c r="B972" t="s">
        <v>21</v>
      </c>
      <c r="C972" t="s">
        <v>10</v>
      </c>
      <c r="D972" t="s">
        <v>11</v>
      </c>
      <c r="E972" t="s">
        <v>12</v>
      </c>
      <c r="F972">
        <v>89</v>
      </c>
      <c r="G972">
        <v>100</v>
      </c>
      <c r="H972">
        <v>100</v>
      </c>
    </row>
    <row r="973" spans="1:8" x14ac:dyDescent="0.25">
      <c r="A973" t="s">
        <v>17</v>
      </c>
      <c r="B973" t="s">
        <v>13</v>
      </c>
      <c r="C973" t="s">
        <v>23</v>
      </c>
      <c r="D973" t="s">
        <v>11</v>
      </c>
      <c r="E973" t="s">
        <v>15</v>
      </c>
      <c r="F973">
        <v>78</v>
      </c>
      <c r="G973">
        <v>72</v>
      </c>
      <c r="H973">
        <v>69</v>
      </c>
    </row>
    <row r="974" spans="1:8" x14ac:dyDescent="0.25">
      <c r="A974" t="s">
        <v>8</v>
      </c>
      <c r="B974" t="s">
        <v>18</v>
      </c>
      <c r="C974" t="s">
        <v>22</v>
      </c>
      <c r="D974" t="s">
        <v>20</v>
      </c>
      <c r="E974" t="s">
        <v>15</v>
      </c>
      <c r="F974">
        <v>53</v>
      </c>
      <c r="G974">
        <v>50</v>
      </c>
      <c r="H974">
        <v>60</v>
      </c>
    </row>
    <row r="975" spans="1:8" x14ac:dyDescent="0.25">
      <c r="A975" t="s">
        <v>8</v>
      </c>
      <c r="B975" t="s">
        <v>21</v>
      </c>
      <c r="C975" t="s">
        <v>14</v>
      </c>
      <c r="D975" t="s">
        <v>20</v>
      </c>
      <c r="E975" t="s">
        <v>12</v>
      </c>
      <c r="F975">
        <v>49</v>
      </c>
      <c r="G975">
        <v>65</v>
      </c>
      <c r="H975">
        <v>61</v>
      </c>
    </row>
    <row r="976" spans="1:8" x14ac:dyDescent="0.25">
      <c r="A976" t="s">
        <v>8</v>
      </c>
      <c r="B976" t="s">
        <v>18</v>
      </c>
      <c r="C976" t="s">
        <v>14</v>
      </c>
      <c r="D976" t="s">
        <v>11</v>
      </c>
      <c r="E976" t="s">
        <v>12</v>
      </c>
      <c r="F976">
        <v>54</v>
      </c>
      <c r="G976">
        <v>63</v>
      </c>
      <c r="H976">
        <v>67</v>
      </c>
    </row>
    <row r="977" spans="1:8" x14ac:dyDescent="0.25">
      <c r="A977" t="s">
        <v>8</v>
      </c>
      <c r="B977" t="s">
        <v>13</v>
      </c>
      <c r="C977" t="s">
        <v>14</v>
      </c>
      <c r="D977" t="s">
        <v>11</v>
      </c>
      <c r="E977" t="s">
        <v>15</v>
      </c>
      <c r="F977">
        <v>64</v>
      </c>
      <c r="G977">
        <v>82</v>
      </c>
      <c r="H977">
        <v>77</v>
      </c>
    </row>
    <row r="978" spans="1:8" x14ac:dyDescent="0.25">
      <c r="A978" t="s">
        <v>17</v>
      </c>
      <c r="B978" t="s">
        <v>9</v>
      </c>
      <c r="C978" t="s">
        <v>14</v>
      </c>
      <c r="D978" t="s">
        <v>20</v>
      </c>
      <c r="E978" t="s">
        <v>15</v>
      </c>
      <c r="F978">
        <v>60</v>
      </c>
      <c r="G978">
        <v>62</v>
      </c>
      <c r="H978">
        <v>60</v>
      </c>
    </row>
    <row r="979" spans="1:8" x14ac:dyDescent="0.25">
      <c r="A979" t="s">
        <v>17</v>
      </c>
      <c r="B979" t="s">
        <v>13</v>
      </c>
      <c r="C979" t="s">
        <v>19</v>
      </c>
      <c r="D979" t="s">
        <v>11</v>
      </c>
      <c r="E979" t="s">
        <v>12</v>
      </c>
      <c r="F979">
        <v>62</v>
      </c>
      <c r="G979">
        <v>65</v>
      </c>
      <c r="H979">
        <v>58</v>
      </c>
    </row>
    <row r="980" spans="1:8" x14ac:dyDescent="0.25">
      <c r="A980" t="s">
        <v>17</v>
      </c>
      <c r="B980" t="s">
        <v>21</v>
      </c>
      <c r="C980" t="s">
        <v>22</v>
      </c>
      <c r="D980" t="s">
        <v>11</v>
      </c>
      <c r="E980" t="s">
        <v>15</v>
      </c>
      <c r="F980">
        <v>55</v>
      </c>
      <c r="G980">
        <v>41</v>
      </c>
      <c r="H980">
        <v>48</v>
      </c>
    </row>
    <row r="981" spans="1:8" x14ac:dyDescent="0.25">
      <c r="A981" t="s">
        <v>8</v>
      </c>
      <c r="B981" t="s">
        <v>13</v>
      </c>
      <c r="C981" t="s">
        <v>19</v>
      </c>
      <c r="D981" t="s">
        <v>11</v>
      </c>
      <c r="E981" t="s">
        <v>12</v>
      </c>
      <c r="F981">
        <v>91</v>
      </c>
      <c r="G981">
        <v>95</v>
      </c>
      <c r="H981">
        <v>94</v>
      </c>
    </row>
    <row r="982" spans="1:8" x14ac:dyDescent="0.25">
      <c r="A982" t="s">
        <v>8</v>
      </c>
      <c r="B982" t="s">
        <v>9</v>
      </c>
      <c r="C982" t="s">
        <v>22</v>
      </c>
      <c r="D982" t="s">
        <v>20</v>
      </c>
      <c r="E982" t="s">
        <v>12</v>
      </c>
      <c r="F982">
        <v>8</v>
      </c>
      <c r="G982">
        <v>24</v>
      </c>
      <c r="H982">
        <v>23</v>
      </c>
    </row>
    <row r="983" spans="1:8" x14ac:dyDescent="0.25">
      <c r="A983" t="s">
        <v>17</v>
      </c>
      <c r="B983" t="s">
        <v>21</v>
      </c>
      <c r="C983" t="s">
        <v>23</v>
      </c>
      <c r="D983" t="s">
        <v>11</v>
      </c>
      <c r="E983" t="s">
        <v>12</v>
      </c>
      <c r="F983">
        <v>81</v>
      </c>
      <c r="G983">
        <v>78</v>
      </c>
      <c r="H983">
        <v>78</v>
      </c>
    </row>
    <row r="984" spans="1:8" x14ac:dyDescent="0.25">
      <c r="A984" t="s">
        <v>17</v>
      </c>
      <c r="B984" t="s">
        <v>9</v>
      </c>
      <c r="C984" t="s">
        <v>23</v>
      </c>
      <c r="D984" t="s">
        <v>11</v>
      </c>
      <c r="E984" t="s">
        <v>15</v>
      </c>
      <c r="F984">
        <v>79</v>
      </c>
      <c r="G984">
        <v>85</v>
      </c>
      <c r="H984">
        <v>86</v>
      </c>
    </row>
    <row r="985" spans="1:8" x14ac:dyDescent="0.25">
      <c r="A985" t="s">
        <v>8</v>
      </c>
      <c r="B985" t="s">
        <v>18</v>
      </c>
      <c r="C985" t="s">
        <v>14</v>
      </c>
      <c r="D985" t="s">
        <v>11</v>
      </c>
      <c r="E985" t="s">
        <v>15</v>
      </c>
      <c r="F985">
        <v>78</v>
      </c>
      <c r="G985">
        <v>87</v>
      </c>
      <c r="H985">
        <v>91</v>
      </c>
    </row>
    <row r="986" spans="1:8" x14ac:dyDescent="0.25">
      <c r="A986" t="s">
        <v>8</v>
      </c>
      <c r="B986" t="s">
        <v>13</v>
      </c>
      <c r="C986" t="s">
        <v>23</v>
      </c>
      <c r="D986" t="s">
        <v>11</v>
      </c>
      <c r="E986" t="s">
        <v>12</v>
      </c>
      <c r="F986">
        <v>74</v>
      </c>
      <c r="G986">
        <v>75</v>
      </c>
      <c r="H986">
        <v>82</v>
      </c>
    </row>
    <row r="987" spans="1:8" x14ac:dyDescent="0.25">
      <c r="A987" t="s">
        <v>17</v>
      </c>
      <c r="B987" t="s">
        <v>18</v>
      </c>
      <c r="C987" t="s">
        <v>22</v>
      </c>
      <c r="D987" t="s">
        <v>11</v>
      </c>
      <c r="E987" t="s">
        <v>12</v>
      </c>
      <c r="F987">
        <v>57</v>
      </c>
      <c r="G987">
        <v>51</v>
      </c>
      <c r="H987">
        <v>54</v>
      </c>
    </row>
    <row r="988" spans="1:8" x14ac:dyDescent="0.25">
      <c r="A988" t="s">
        <v>8</v>
      </c>
      <c r="B988" t="s">
        <v>13</v>
      </c>
      <c r="C988" t="s">
        <v>19</v>
      </c>
      <c r="D988" t="s">
        <v>11</v>
      </c>
      <c r="E988" t="s">
        <v>12</v>
      </c>
      <c r="F988">
        <v>40</v>
      </c>
      <c r="G988">
        <v>59</v>
      </c>
      <c r="H988">
        <v>51</v>
      </c>
    </row>
    <row r="989" spans="1:8" x14ac:dyDescent="0.25">
      <c r="A989" t="s">
        <v>17</v>
      </c>
      <c r="B989" t="s">
        <v>24</v>
      </c>
      <c r="C989" t="s">
        <v>23</v>
      </c>
      <c r="D989" t="s">
        <v>11</v>
      </c>
      <c r="E989" t="s">
        <v>15</v>
      </c>
      <c r="F989">
        <v>81</v>
      </c>
      <c r="G989">
        <v>75</v>
      </c>
      <c r="H989">
        <v>76</v>
      </c>
    </row>
    <row r="990" spans="1:8" x14ac:dyDescent="0.25">
      <c r="A990" t="s">
        <v>8</v>
      </c>
      <c r="B990" t="s">
        <v>18</v>
      </c>
      <c r="C990" t="s">
        <v>23</v>
      </c>
      <c r="D990" t="s">
        <v>20</v>
      </c>
      <c r="E990" t="s">
        <v>12</v>
      </c>
      <c r="F990">
        <v>44</v>
      </c>
      <c r="G990">
        <v>45</v>
      </c>
      <c r="H990">
        <v>45</v>
      </c>
    </row>
    <row r="991" spans="1:8" x14ac:dyDescent="0.25">
      <c r="A991" t="s">
        <v>8</v>
      </c>
      <c r="B991" t="s">
        <v>21</v>
      </c>
      <c r="C991" t="s">
        <v>14</v>
      </c>
      <c r="D991" t="s">
        <v>20</v>
      </c>
      <c r="E991" t="s">
        <v>15</v>
      </c>
      <c r="F991">
        <v>67</v>
      </c>
      <c r="G991">
        <v>86</v>
      </c>
      <c r="H991">
        <v>83</v>
      </c>
    </row>
    <row r="992" spans="1:8" x14ac:dyDescent="0.25">
      <c r="A992" t="s">
        <v>17</v>
      </c>
      <c r="B992" t="s">
        <v>24</v>
      </c>
      <c r="C992" t="s">
        <v>22</v>
      </c>
      <c r="D992" t="s">
        <v>20</v>
      </c>
      <c r="E992" t="s">
        <v>15</v>
      </c>
      <c r="F992">
        <v>86</v>
      </c>
      <c r="G992">
        <v>81</v>
      </c>
      <c r="H992">
        <v>75</v>
      </c>
    </row>
    <row r="993" spans="1:8" x14ac:dyDescent="0.25">
      <c r="A993" t="s">
        <v>8</v>
      </c>
      <c r="B993" t="s">
        <v>9</v>
      </c>
      <c r="C993" t="s">
        <v>23</v>
      </c>
      <c r="D993" t="s">
        <v>11</v>
      </c>
      <c r="E993" t="s">
        <v>15</v>
      </c>
      <c r="F993">
        <v>65</v>
      </c>
      <c r="G993">
        <v>82</v>
      </c>
      <c r="H993">
        <v>78</v>
      </c>
    </row>
    <row r="994" spans="1:8" x14ac:dyDescent="0.25">
      <c r="A994" t="s">
        <v>8</v>
      </c>
      <c r="B994" t="s">
        <v>21</v>
      </c>
      <c r="C994" t="s">
        <v>19</v>
      </c>
      <c r="D994" t="s">
        <v>20</v>
      </c>
      <c r="E994" t="s">
        <v>12</v>
      </c>
      <c r="F994">
        <v>55</v>
      </c>
      <c r="G994">
        <v>76</v>
      </c>
      <c r="H994">
        <v>76</v>
      </c>
    </row>
    <row r="995" spans="1:8" x14ac:dyDescent="0.25">
      <c r="A995" t="s">
        <v>8</v>
      </c>
      <c r="B995" t="s">
        <v>21</v>
      </c>
      <c r="C995" t="s">
        <v>10</v>
      </c>
      <c r="D995" t="s">
        <v>20</v>
      </c>
      <c r="E995" t="s">
        <v>12</v>
      </c>
      <c r="F995">
        <v>62</v>
      </c>
      <c r="G995">
        <v>72</v>
      </c>
      <c r="H995">
        <v>74</v>
      </c>
    </row>
    <row r="996" spans="1:8" x14ac:dyDescent="0.25">
      <c r="A996" t="s">
        <v>17</v>
      </c>
      <c r="B996" t="s">
        <v>18</v>
      </c>
      <c r="C996" t="s">
        <v>22</v>
      </c>
      <c r="D996" t="s">
        <v>11</v>
      </c>
      <c r="E996" t="s">
        <v>12</v>
      </c>
      <c r="F996">
        <v>63</v>
      </c>
      <c r="G996">
        <v>63</v>
      </c>
      <c r="H996">
        <v>62</v>
      </c>
    </row>
    <row r="997" spans="1:8" x14ac:dyDescent="0.25">
      <c r="A997" t="s">
        <v>8</v>
      </c>
      <c r="B997" t="s">
        <v>24</v>
      </c>
      <c r="C997" t="s">
        <v>16</v>
      </c>
      <c r="D997" t="s">
        <v>11</v>
      </c>
      <c r="E997" t="s">
        <v>15</v>
      </c>
      <c r="F997">
        <v>88</v>
      </c>
      <c r="G997">
        <v>99</v>
      </c>
      <c r="H997">
        <v>95</v>
      </c>
    </row>
    <row r="998" spans="1:8" x14ac:dyDescent="0.25">
      <c r="A998" t="s">
        <v>17</v>
      </c>
      <c r="B998" t="s">
        <v>13</v>
      </c>
      <c r="C998" t="s">
        <v>22</v>
      </c>
      <c r="D998" t="s">
        <v>20</v>
      </c>
      <c r="E998" t="s">
        <v>12</v>
      </c>
      <c r="F998">
        <v>62</v>
      </c>
      <c r="G998">
        <v>55</v>
      </c>
      <c r="H998">
        <v>55</v>
      </c>
    </row>
    <row r="999" spans="1:8" x14ac:dyDescent="0.25">
      <c r="A999" t="s">
        <v>8</v>
      </c>
      <c r="B999" t="s">
        <v>13</v>
      </c>
      <c r="C999" t="s">
        <v>22</v>
      </c>
      <c r="D999" t="s">
        <v>20</v>
      </c>
      <c r="E999" t="s">
        <v>15</v>
      </c>
      <c r="F999">
        <v>59</v>
      </c>
      <c r="G999">
        <v>71</v>
      </c>
      <c r="H999">
        <v>65</v>
      </c>
    </row>
    <row r="1000" spans="1:8" x14ac:dyDescent="0.25">
      <c r="A1000" t="s">
        <v>8</v>
      </c>
      <c r="B1000" t="s">
        <v>21</v>
      </c>
      <c r="C1000" t="s">
        <v>14</v>
      </c>
      <c r="D1000" t="s">
        <v>11</v>
      </c>
      <c r="E1000" t="s">
        <v>15</v>
      </c>
      <c r="F1000">
        <v>68</v>
      </c>
      <c r="G1000">
        <v>78</v>
      </c>
      <c r="H1000">
        <v>77</v>
      </c>
    </row>
    <row r="1001" spans="1:8" x14ac:dyDescent="0.25">
      <c r="A1001" t="s">
        <v>8</v>
      </c>
      <c r="B1001" t="s">
        <v>21</v>
      </c>
      <c r="C1001" t="s">
        <v>14</v>
      </c>
      <c r="D1001" t="s">
        <v>20</v>
      </c>
      <c r="E1001" t="s">
        <v>12</v>
      </c>
      <c r="F1001">
        <v>77</v>
      </c>
      <c r="G1001">
        <v>86</v>
      </c>
      <c r="H1001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B820E-FAB1-4A44-A4CD-4DF6A3C57700}">
  <dimension ref="A1:K1001"/>
  <sheetViews>
    <sheetView tabSelected="1" workbookViewId="0">
      <selection activeCell="C3" sqref="C3"/>
    </sheetView>
  </sheetViews>
  <sheetFormatPr defaultRowHeight="15" x14ac:dyDescent="0.25"/>
  <cols>
    <col min="1" max="1" width="10" style="7" bestFit="1" customWidth="1"/>
    <col min="2" max="2" width="15.7109375" style="7" customWidth="1"/>
    <col min="3" max="3" width="27.140625" style="7" customWidth="1"/>
    <col min="4" max="4" width="13.140625" style="7" bestFit="1" customWidth="1"/>
    <col min="5" max="5" width="24.140625" style="7" customWidth="1"/>
    <col min="6" max="6" width="13.140625" style="8" customWidth="1"/>
    <col min="7" max="7" width="15.28515625" style="8" customWidth="1"/>
    <col min="8" max="8" width="14.7109375" style="8" customWidth="1"/>
    <col min="9" max="9" width="12.7109375" customWidth="1"/>
    <col min="10" max="10" width="15.5703125" customWidth="1"/>
    <col min="11" max="11" width="16.85546875" style="7" customWidth="1"/>
  </cols>
  <sheetData>
    <row r="1" spans="1:11" x14ac:dyDescent="0.25">
      <c r="A1" s="7" t="s">
        <v>42</v>
      </c>
      <c r="B1" s="7" t="s">
        <v>43</v>
      </c>
      <c r="C1" s="7" t="s">
        <v>44</v>
      </c>
      <c r="D1" s="7" t="s">
        <v>45</v>
      </c>
      <c r="E1" s="7" t="s">
        <v>46</v>
      </c>
      <c r="F1" s="8" t="s">
        <v>47</v>
      </c>
      <c r="G1" s="8" t="s">
        <v>48</v>
      </c>
      <c r="H1" s="8" t="s">
        <v>49</v>
      </c>
      <c r="I1" t="s">
        <v>50</v>
      </c>
      <c r="J1" t="s">
        <v>51</v>
      </c>
      <c r="K1" s="7" t="s">
        <v>52</v>
      </c>
    </row>
    <row r="2" spans="1:11" x14ac:dyDescent="0.25">
      <c r="A2" t="str">
        <f>PROPER(TRIM('raw data'!A2))</f>
        <v>Female</v>
      </c>
      <c r="B2" t="str">
        <f>PROPER(TRIM('raw data'!B2))</f>
        <v>Group B</v>
      </c>
      <c r="C2" s="7" t="str">
        <f>PROPER(TRIM('raw data'!C2))</f>
        <v>Bachelor'S Degree</v>
      </c>
      <c r="D2" s="7" t="str">
        <f>PROPER(TRIM('raw data'!D2))</f>
        <v>Standard</v>
      </c>
      <c r="E2" s="7" t="str">
        <f>PROPER(TRIM('raw data'!E2))</f>
        <v>None</v>
      </c>
      <c r="F2" s="8">
        <v>72</v>
      </c>
      <c r="G2" s="8">
        <v>72</v>
      </c>
      <c r="H2" s="8">
        <v>74</v>
      </c>
      <c r="I2">
        <f>F2+G2+H2</f>
        <v>218</v>
      </c>
      <c r="J2">
        <f>I2/3</f>
        <v>72.666666666666671</v>
      </c>
      <c r="K2" s="7" t="str">
        <f>IF(J2&gt;=40,"pass","fail")</f>
        <v>pass</v>
      </c>
    </row>
    <row r="3" spans="1:11" x14ac:dyDescent="0.25">
      <c r="A3" t="str">
        <f>PROPER(TRIM('raw data'!A3))</f>
        <v>Female</v>
      </c>
      <c r="B3" t="str">
        <f>PROPER(TRIM('raw data'!B3))</f>
        <v>Group C</v>
      </c>
      <c r="C3" s="7" t="str">
        <f>PROPER(TRIM('raw data'!C3))</f>
        <v>Some College</v>
      </c>
      <c r="D3" s="7" t="str">
        <f>PROPER(TRIM('raw data'!D3))</f>
        <v>Standard</v>
      </c>
      <c r="E3" s="7" t="str">
        <f>PROPER(TRIM('raw data'!E3))</f>
        <v>Completed</v>
      </c>
      <c r="F3" s="8">
        <v>69</v>
      </c>
      <c r="G3" s="8">
        <v>90</v>
      </c>
      <c r="H3" s="8">
        <v>88</v>
      </c>
      <c r="I3">
        <f t="shared" ref="I3:I66" si="0">F3+G3+H3</f>
        <v>247</v>
      </c>
      <c r="J3">
        <f t="shared" ref="J3:J66" si="1">I3/3</f>
        <v>82.333333333333329</v>
      </c>
      <c r="K3" s="7" t="str">
        <f t="shared" ref="K3:K66" si="2">IF(J3&gt;=40,"pass","fail")</f>
        <v>pass</v>
      </c>
    </row>
    <row r="4" spans="1:11" x14ac:dyDescent="0.25">
      <c r="A4" t="str">
        <f>PROPER(TRIM('raw data'!A4))</f>
        <v>Female</v>
      </c>
      <c r="B4" t="str">
        <f>PROPER(TRIM('raw data'!B4))</f>
        <v>Group B</v>
      </c>
      <c r="C4" s="7" t="str">
        <f>PROPER(TRIM('raw data'!C4))</f>
        <v>Master'S Degree</v>
      </c>
      <c r="D4" s="7" t="str">
        <f>PROPER(TRIM('raw data'!D4))</f>
        <v>Standard</v>
      </c>
      <c r="E4" s="7" t="str">
        <f>PROPER(TRIM('raw data'!E4))</f>
        <v>None</v>
      </c>
      <c r="F4" s="8">
        <v>90</v>
      </c>
      <c r="G4" s="8">
        <v>95</v>
      </c>
      <c r="H4" s="8">
        <v>93</v>
      </c>
      <c r="I4">
        <f t="shared" si="0"/>
        <v>278</v>
      </c>
      <c r="J4">
        <f t="shared" si="1"/>
        <v>92.666666666666671</v>
      </c>
      <c r="K4" s="7" t="str">
        <f t="shared" si="2"/>
        <v>pass</v>
      </c>
    </row>
    <row r="5" spans="1:11" x14ac:dyDescent="0.25">
      <c r="A5" t="str">
        <f>PROPER(TRIM('raw data'!A5))</f>
        <v>Male</v>
      </c>
      <c r="B5" t="str">
        <f>PROPER(TRIM('raw data'!B5))</f>
        <v>Group A</v>
      </c>
      <c r="C5" s="7" t="str">
        <f>PROPER(TRIM('raw data'!C5))</f>
        <v>Associate'S Degree</v>
      </c>
      <c r="D5" s="7" t="str">
        <f>PROPER(TRIM('raw data'!D5))</f>
        <v>Free/Reduced</v>
      </c>
      <c r="E5" s="7" t="str">
        <f>PROPER(TRIM('raw data'!E5))</f>
        <v>None</v>
      </c>
      <c r="F5" s="8">
        <v>47</v>
      </c>
      <c r="G5" s="8">
        <v>57</v>
      </c>
      <c r="H5" s="8">
        <v>44</v>
      </c>
      <c r="I5">
        <f t="shared" si="0"/>
        <v>148</v>
      </c>
      <c r="J5">
        <f t="shared" si="1"/>
        <v>49.333333333333336</v>
      </c>
      <c r="K5" s="7" t="str">
        <f t="shared" si="2"/>
        <v>pass</v>
      </c>
    </row>
    <row r="6" spans="1:11" x14ac:dyDescent="0.25">
      <c r="A6" t="str">
        <f>PROPER(TRIM('raw data'!A6))</f>
        <v>Male</v>
      </c>
      <c r="B6" t="str">
        <f>PROPER(TRIM('raw data'!B6))</f>
        <v>Group C</v>
      </c>
      <c r="C6" s="7" t="str">
        <f>PROPER(TRIM('raw data'!C6))</f>
        <v>Some College</v>
      </c>
      <c r="D6" s="7" t="str">
        <f>PROPER(TRIM('raw data'!D6))</f>
        <v>Standard</v>
      </c>
      <c r="E6" s="7" t="str">
        <f>PROPER(TRIM('raw data'!E6))</f>
        <v>None</v>
      </c>
      <c r="F6" s="8">
        <v>76</v>
      </c>
      <c r="G6" s="8">
        <v>78</v>
      </c>
      <c r="H6" s="8">
        <v>75</v>
      </c>
      <c r="I6">
        <f t="shared" si="0"/>
        <v>229</v>
      </c>
      <c r="J6">
        <f t="shared" si="1"/>
        <v>76.333333333333329</v>
      </c>
      <c r="K6" s="7" t="str">
        <f t="shared" si="2"/>
        <v>pass</v>
      </c>
    </row>
    <row r="7" spans="1:11" x14ac:dyDescent="0.25">
      <c r="A7" t="str">
        <f>PROPER(TRIM('raw data'!A7))</f>
        <v>Female</v>
      </c>
      <c r="B7" t="str">
        <f>PROPER(TRIM('raw data'!B7))</f>
        <v>Group B</v>
      </c>
      <c r="C7" s="7" t="str">
        <f>PROPER(TRIM('raw data'!C7))</f>
        <v>Associate'S Degree</v>
      </c>
      <c r="D7" s="7" t="str">
        <f>PROPER(TRIM('raw data'!D7))</f>
        <v>Standard</v>
      </c>
      <c r="E7" s="7" t="str">
        <f>PROPER(TRIM('raw data'!E7))</f>
        <v>None</v>
      </c>
      <c r="F7" s="8">
        <v>71</v>
      </c>
      <c r="G7" s="8">
        <v>83</v>
      </c>
      <c r="H7" s="8">
        <v>78</v>
      </c>
      <c r="I7">
        <f t="shared" si="0"/>
        <v>232</v>
      </c>
      <c r="J7">
        <f t="shared" si="1"/>
        <v>77.333333333333329</v>
      </c>
      <c r="K7" s="7" t="str">
        <f t="shared" si="2"/>
        <v>pass</v>
      </c>
    </row>
    <row r="8" spans="1:11" x14ac:dyDescent="0.25">
      <c r="A8" t="str">
        <f>PROPER(TRIM('raw data'!A8))</f>
        <v>Female</v>
      </c>
      <c r="B8" t="str">
        <f>PROPER(TRIM('raw data'!B8))</f>
        <v>Group B</v>
      </c>
      <c r="C8" s="7" t="str">
        <f>PROPER(TRIM('raw data'!C8))</f>
        <v>Some College</v>
      </c>
      <c r="D8" s="7" t="str">
        <f>PROPER(TRIM('raw data'!D8))</f>
        <v>Standard</v>
      </c>
      <c r="E8" s="7" t="str">
        <f>PROPER(TRIM('raw data'!E8))</f>
        <v>Completed</v>
      </c>
      <c r="F8" s="8">
        <v>88</v>
      </c>
      <c r="G8" s="8">
        <v>95</v>
      </c>
      <c r="H8" s="8">
        <v>92</v>
      </c>
      <c r="I8">
        <f t="shared" si="0"/>
        <v>275</v>
      </c>
      <c r="J8">
        <f t="shared" si="1"/>
        <v>91.666666666666671</v>
      </c>
      <c r="K8" s="7" t="str">
        <f t="shared" si="2"/>
        <v>pass</v>
      </c>
    </row>
    <row r="9" spans="1:11" x14ac:dyDescent="0.25">
      <c r="A9" t="str">
        <f>PROPER(TRIM('raw data'!A9))</f>
        <v>Male</v>
      </c>
      <c r="B9" t="str">
        <f>PROPER(TRIM('raw data'!B9))</f>
        <v>Group B</v>
      </c>
      <c r="C9" s="7" t="str">
        <f>PROPER(TRIM('raw data'!C9))</f>
        <v>Some College</v>
      </c>
      <c r="D9" s="7" t="str">
        <f>PROPER(TRIM('raw data'!D9))</f>
        <v>Free/Reduced</v>
      </c>
      <c r="E9" s="7" t="str">
        <f>PROPER(TRIM('raw data'!E9))</f>
        <v>None</v>
      </c>
      <c r="F9" s="8">
        <v>40</v>
      </c>
      <c r="G9" s="8">
        <v>43</v>
      </c>
      <c r="H9" s="8">
        <v>39</v>
      </c>
      <c r="I9">
        <f t="shared" si="0"/>
        <v>122</v>
      </c>
      <c r="J9">
        <f t="shared" si="1"/>
        <v>40.666666666666664</v>
      </c>
      <c r="K9" s="7" t="str">
        <f t="shared" si="2"/>
        <v>pass</v>
      </c>
    </row>
    <row r="10" spans="1:11" x14ac:dyDescent="0.25">
      <c r="A10" t="str">
        <f>PROPER(TRIM('raw data'!A10))</f>
        <v>Male</v>
      </c>
      <c r="B10" t="str">
        <f>PROPER(TRIM('raw data'!B10))</f>
        <v>Group D</v>
      </c>
      <c r="C10" s="7" t="str">
        <f>PROPER(TRIM('raw data'!C10))</f>
        <v>High School</v>
      </c>
      <c r="D10" s="7" t="str">
        <f>PROPER(TRIM('raw data'!D10))</f>
        <v>Free/Reduced</v>
      </c>
      <c r="E10" s="7" t="str">
        <f>PROPER(TRIM('raw data'!E10))</f>
        <v>Completed</v>
      </c>
      <c r="F10" s="8">
        <v>64</v>
      </c>
      <c r="G10" s="8">
        <v>64</v>
      </c>
      <c r="H10" s="8">
        <v>67</v>
      </c>
      <c r="I10">
        <f t="shared" si="0"/>
        <v>195</v>
      </c>
      <c r="J10">
        <f t="shared" si="1"/>
        <v>65</v>
      </c>
      <c r="K10" s="7" t="str">
        <f t="shared" si="2"/>
        <v>pass</v>
      </c>
    </row>
    <row r="11" spans="1:11" x14ac:dyDescent="0.25">
      <c r="A11" t="str">
        <f>PROPER(TRIM('raw data'!A11))</f>
        <v>Female</v>
      </c>
      <c r="B11" t="str">
        <f>PROPER(TRIM('raw data'!B11))</f>
        <v>Group B</v>
      </c>
      <c r="C11" s="7" t="str">
        <f>PROPER(TRIM('raw data'!C11))</f>
        <v>High School</v>
      </c>
      <c r="D11" s="7" t="str">
        <f>PROPER(TRIM('raw data'!D11))</f>
        <v>Free/Reduced</v>
      </c>
      <c r="E11" s="7" t="str">
        <f>PROPER(TRIM('raw data'!E11))</f>
        <v>None</v>
      </c>
      <c r="F11" s="8">
        <v>38</v>
      </c>
      <c r="G11" s="8">
        <v>60</v>
      </c>
      <c r="H11" s="8">
        <v>50</v>
      </c>
      <c r="I11">
        <f t="shared" si="0"/>
        <v>148</v>
      </c>
      <c r="J11">
        <f t="shared" si="1"/>
        <v>49.333333333333336</v>
      </c>
      <c r="K11" s="7" t="str">
        <f t="shared" si="2"/>
        <v>pass</v>
      </c>
    </row>
    <row r="12" spans="1:11" x14ac:dyDescent="0.25">
      <c r="A12" t="str">
        <f>PROPER(TRIM('raw data'!A12))</f>
        <v>Male</v>
      </c>
      <c r="B12" t="str">
        <f>PROPER(TRIM('raw data'!B12))</f>
        <v>Group C</v>
      </c>
      <c r="C12" s="7" t="str">
        <f>PROPER(TRIM('raw data'!C12))</f>
        <v>Associate'S Degree</v>
      </c>
      <c r="D12" s="7" t="str">
        <f>PROPER(TRIM('raw data'!D12))</f>
        <v>Standard</v>
      </c>
      <c r="E12" s="7" t="str">
        <f>PROPER(TRIM('raw data'!E12))</f>
        <v>None</v>
      </c>
      <c r="F12" s="8">
        <v>58</v>
      </c>
      <c r="G12" s="8">
        <v>54</v>
      </c>
      <c r="H12" s="8">
        <v>52</v>
      </c>
      <c r="I12">
        <f t="shared" si="0"/>
        <v>164</v>
      </c>
      <c r="J12">
        <f t="shared" si="1"/>
        <v>54.666666666666664</v>
      </c>
      <c r="K12" s="7" t="str">
        <f t="shared" si="2"/>
        <v>pass</v>
      </c>
    </row>
    <row r="13" spans="1:11" x14ac:dyDescent="0.25">
      <c r="A13" t="str">
        <f>PROPER(TRIM('raw data'!A13))</f>
        <v>Male</v>
      </c>
      <c r="B13" t="str">
        <f>PROPER(TRIM('raw data'!B13))</f>
        <v>Group D</v>
      </c>
      <c r="C13" s="7" t="str">
        <f>PROPER(TRIM('raw data'!C13))</f>
        <v>Associate'S Degree</v>
      </c>
      <c r="D13" s="7" t="str">
        <f>PROPER(TRIM('raw data'!D13))</f>
        <v>Standard</v>
      </c>
      <c r="E13" s="7" t="str">
        <f>PROPER(TRIM('raw data'!E13))</f>
        <v>None</v>
      </c>
      <c r="F13" s="8">
        <v>40</v>
      </c>
      <c r="G13" s="8">
        <v>52</v>
      </c>
      <c r="H13" s="8">
        <v>43</v>
      </c>
      <c r="I13">
        <f t="shared" si="0"/>
        <v>135</v>
      </c>
      <c r="J13">
        <f t="shared" si="1"/>
        <v>45</v>
      </c>
      <c r="K13" s="7" t="str">
        <f t="shared" si="2"/>
        <v>pass</v>
      </c>
    </row>
    <row r="14" spans="1:11" x14ac:dyDescent="0.25">
      <c r="A14" t="str">
        <f>PROPER(TRIM('raw data'!A14))</f>
        <v>Female</v>
      </c>
      <c r="B14" t="str">
        <f>PROPER(TRIM('raw data'!B14))</f>
        <v>Group B</v>
      </c>
      <c r="C14" s="7" t="str">
        <f>PROPER(TRIM('raw data'!C14))</f>
        <v>High School</v>
      </c>
      <c r="D14" s="7" t="str">
        <f>PROPER(TRIM('raw data'!D14))</f>
        <v>Standard</v>
      </c>
      <c r="E14" s="7" t="str">
        <f>PROPER(TRIM('raw data'!E14))</f>
        <v>None</v>
      </c>
      <c r="F14" s="8">
        <v>65</v>
      </c>
      <c r="G14" s="8">
        <v>81</v>
      </c>
      <c r="H14" s="8">
        <v>73</v>
      </c>
      <c r="I14">
        <f t="shared" si="0"/>
        <v>219</v>
      </c>
      <c r="J14">
        <f t="shared" si="1"/>
        <v>73</v>
      </c>
      <c r="K14" s="7" t="str">
        <f t="shared" si="2"/>
        <v>pass</v>
      </c>
    </row>
    <row r="15" spans="1:11" x14ac:dyDescent="0.25">
      <c r="A15" t="str">
        <f>PROPER(TRIM('raw data'!A15))</f>
        <v>Male</v>
      </c>
      <c r="B15" t="str">
        <f>PROPER(TRIM('raw data'!B15))</f>
        <v>Group A</v>
      </c>
      <c r="C15" s="7" t="str">
        <f>PROPER(TRIM('raw data'!C15))</f>
        <v>Some College</v>
      </c>
      <c r="D15" s="7" t="str">
        <f>PROPER(TRIM('raw data'!D15))</f>
        <v>Standard</v>
      </c>
      <c r="E15" s="7" t="str">
        <f>PROPER(TRIM('raw data'!E15))</f>
        <v>Completed</v>
      </c>
      <c r="F15" s="8">
        <v>78</v>
      </c>
      <c r="G15" s="8">
        <v>72</v>
      </c>
      <c r="H15" s="8">
        <v>70</v>
      </c>
      <c r="I15">
        <f t="shared" si="0"/>
        <v>220</v>
      </c>
      <c r="J15">
        <f t="shared" si="1"/>
        <v>73.333333333333329</v>
      </c>
      <c r="K15" s="7" t="str">
        <f t="shared" si="2"/>
        <v>pass</v>
      </c>
    </row>
    <row r="16" spans="1:11" x14ac:dyDescent="0.25">
      <c r="A16" t="str">
        <f>PROPER(TRIM('raw data'!A16))</f>
        <v>Female</v>
      </c>
      <c r="B16" t="str">
        <f>PROPER(TRIM('raw data'!B16))</f>
        <v>Group A</v>
      </c>
      <c r="C16" s="7" t="str">
        <f>PROPER(TRIM('raw data'!C16))</f>
        <v>Master'S Degree</v>
      </c>
      <c r="D16" s="7" t="str">
        <f>PROPER(TRIM('raw data'!D16))</f>
        <v>Standard</v>
      </c>
      <c r="E16" s="7" t="str">
        <f>PROPER(TRIM('raw data'!E16))</f>
        <v>None</v>
      </c>
      <c r="F16" s="8">
        <v>50</v>
      </c>
      <c r="G16" s="8">
        <v>53</v>
      </c>
      <c r="H16" s="8">
        <v>58</v>
      </c>
      <c r="I16">
        <f t="shared" si="0"/>
        <v>161</v>
      </c>
      <c r="J16">
        <f t="shared" si="1"/>
        <v>53.666666666666664</v>
      </c>
      <c r="K16" s="7" t="str">
        <f t="shared" si="2"/>
        <v>pass</v>
      </c>
    </row>
    <row r="17" spans="1:11" x14ac:dyDescent="0.25">
      <c r="A17" t="str">
        <f>PROPER(TRIM('raw data'!A17))</f>
        <v>Female</v>
      </c>
      <c r="B17" t="str">
        <f>PROPER(TRIM('raw data'!B17))</f>
        <v>Group C</v>
      </c>
      <c r="C17" s="7" t="str">
        <f>PROPER(TRIM('raw data'!C17))</f>
        <v>Some High School</v>
      </c>
      <c r="D17" s="7" t="str">
        <f>PROPER(TRIM('raw data'!D17))</f>
        <v>Standard</v>
      </c>
      <c r="E17" s="7" t="str">
        <f>PROPER(TRIM('raw data'!E17))</f>
        <v>None</v>
      </c>
      <c r="F17" s="8">
        <v>69</v>
      </c>
      <c r="G17" s="8">
        <v>75</v>
      </c>
      <c r="H17" s="8">
        <v>78</v>
      </c>
      <c r="I17">
        <f t="shared" si="0"/>
        <v>222</v>
      </c>
      <c r="J17">
        <f t="shared" si="1"/>
        <v>74</v>
      </c>
      <c r="K17" s="7" t="str">
        <f t="shared" si="2"/>
        <v>pass</v>
      </c>
    </row>
    <row r="18" spans="1:11" x14ac:dyDescent="0.25">
      <c r="A18" t="str">
        <f>PROPER(TRIM('raw data'!A18))</f>
        <v>Male</v>
      </c>
      <c r="B18" t="str">
        <f>PROPER(TRIM('raw data'!B18))</f>
        <v>Group C</v>
      </c>
      <c r="C18" s="7" t="str">
        <f>PROPER(TRIM('raw data'!C18))</f>
        <v>High School</v>
      </c>
      <c r="D18" s="7" t="str">
        <f>PROPER(TRIM('raw data'!D18))</f>
        <v>Standard</v>
      </c>
      <c r="E18" s="7" t="str">
        <f>PROPER(TRIM('raw data'!E18))</f>
        <v>None</v>
      </c>
      <c r="F18" s="8">
        <v>88</v>
      </c>
      <c r="G18" s="8">
        <v>89</v>
      </c>
      <c r="H18" s="8">
        <v>86</v>
      </c>
      <c r="I18">
        <f t="shared" si="0"/>
        <v>263</v>
      </c>
      <c r="J18">
        <f t="shared" si="1"/>
        <v>87.666666666666671</v>
      </c>
      <c r="K18" s="7" t="str">
        <f t="shared" si="2"/>
        <v>pass</v>
      </c>
    </row>
    <row r="19" spans="1:11" x14ac:dyDescent="0.25">
      <c r="A19" t="str">
        <f>PROPER(TRIM('raw data'!A19))</f>
        <v>Female</v>
      </c>
      <c r="B19" t="str">
        <f>PROPER(TRIM('raw data'!B19))</f>
        <v>Group B</v>
      </c>
      <c r="C19" s="7" t="str">
        <f>PROPER(TRIM('raw data'!C19))</f>
        <v>Some High School</v>
      </c>
      <c r="D19" s="7" t="str">
        <f>PROPER(TRIM('raw data'!D19))</f>
        <v>Free/Reduced</v>
      </c>
      <c r="E19" s="7" t="str">
        <f>PROPER(TRIM('raw data'!E19))</f>
        <v>None</v>
      </c>
      <c r="F19" s="8">
        <v>18</v>
      </c>
      <c r="G19" s="8">
        <v>32</v>
      </c>
      <c r="H19" s="8">
        <v>28</v>
      </c>
      <c r="I19">
        <f t="shared" si="0"/>
        <v>78</v>
      </c>
      <c r="J19">
        <f t="shared" si="1"/>
        <v>26</v>
      </c>
      <c r="K19" s="7" t="str">
        <f t="shared" si="2"/>
        <v>fail</v>
      </c>
    </row>
    <row r="20" spans="1:11" x14ac:dyDescent="0.25">
      <c r="A20" t="str">
        <f>PROPER(TRIM('raw data'!A20))</f>
        <v>Male</v>
      </c>
      <c r="B20" t="str">
        <f>PROPER(TRIM('raw data'!B20))</f>
        <v>Group C</v>
      </c>
      <c r="C20" s="7" t="str">
        <f>PROPER(TRIM('raw data'!C20))</f>
        <v>Master'S Degree</v>
      </c>
      <c r="D20" s="7" t="str">
        <f>PROPER(TRIM('raw data'!D20))</f>
        <v>Free/Reduced</v>
      </c>
      <c r="E20" s="7" t="str">
        <f>PROPER(TRIM('raw data'!E20))</f>
        <v>Completed</v>
      </c>
      <c r="F20" s="8">
        <v>46</v>
      </c>
      <c r="G20" s="8">
        <v>42</v>
      </c>
      <c r="H20" s="8">
        <v>46</v>
      </c>
      <c r="I20">
        <f t="shared" si="0"/>
        <v>134</v>
      </c>
      <c r="J20">
        <f t="shared" si="1"/>
        <v>44.666666666666664</v>
      </c>
      <c r="K20" s="7" t="str">
        <f t="shared" si="2"/>
        <v>pass</v>
      </c>
    </row>
    <row r="21" spans="1:11" x14ac:dyDescent="0.25">
      <c r="A21" t="str">
        <f>PROPER(TRIM('raw data'!A21))</f>
        <v>Female</v>
      </c>
      <c r="B21" t="str">
        <f>PROPER(TRIM('raw data'!B21))</f>
        <v>Group C</v>
      </c>
      <c r="C21" s="7" t="str">
        <f>PROPER(TRIM('raw data'!C21))</f>
        <v>Associate'S Degree</v>
      </c>
      <c r="D21" s="7" t="str">
        <f>PROPER(TRIM('raw data'!D21))</f>
        <v>Free/Reduced</v>
      </c>
      <c r="E21" s="7" t="str">
        <f>PROPER(TRIM('raw data'!E21))</f>
        <v>None</v>
      </c>
      <c r="F21" s="8">
        <v>54</v>
      </c>
      <c r="G21" s="8">
        <v>58</v>
      </c>
      <c r="H21" s="8">
        <v>61</v>
      </c>
      <c r="I21">
        <f t="shared" si="0"/>
        <v>173</v>
      </c>
      <c r="J21">
        <f t="shared" si="1"/>
        <v>57.666666666666664</v>
      </c>
      <c r="K21" s="7" t="str">
        <f t="shared" si="2"/>
        <v>pass</v>
      </c>
    </row>
    <row r="22" spans="1:11" x14ac:dyDescent="0.25">
      <c r="A22" t="str">
        <f>PROPER(TRIM('raw data'!A22))</f>
        <v>Male</v>
      </c>
      <c r="B22" t="str">
        <f>PROPER(TRIM('raw data'!B22))</f>
        <v>Group D</v>
      </c>
      <c r="C22" s="7" t="str">
        <f>PROPER(TRIM('raw data'!C22))</f>
        <v>High School</v>
      </c>
      <c r="D22" s="7" t="str">
        <f>PROPER(TRIM('raw data'!D22))</f>
        <v>Standard</v>
      </c>
      <c r="E22" s="7" t="str">
        <f>PROPER(TRIM('raw data'!E22))</f>
        <v>None</v>
      </c>
      <c r="F22" s="8">
        <v>66</v>
      </c>
      <c r="G22" s="8">
        <v>69</v>
      </c>
      <c r="H22" s="8">
        <v>63</v>
      </c>
      <c r="I22">
        <f t="shared" si="0"/>
        <v>198</v>
      </c>
      <c r="J22">
        <f t="shared" si="1"/>
        <v>66</v>
      </c>
      <c r="K22" s="7" t="str">
        <f t="shared" si="2"/>
        <v>pass</v>
      </c>
    </row>
    <row r="23" spans="1:11" x14ac:dyDescent="0.25">
      <c r="A23" t="str">
        <f>PROPER(TRIM('raw data'!A23))</f>
        <v>Female</v>
      </c>
      <c r="B23" t="str">
        <f>PROPER(TRIM('raw data'!B23))</f>
        <v>Group B</v>
      </c>
      <c r="C23" s="7" t="str">
        <f>PROPER(TRIM('raw data'!C23))</f>
        <v>Some College</v>
      </c>
      <c r="D23" s="7" t="str">
        <f>PROPER(TRIM('raw data'!D23))</f>
        <v>Free/Reduced</v>
      </c>
      <c r="E23" s="7" t="str">
        <f>PROPER(TRIM('raw data'!E23))</f>
        <v>Completed</v>
      </c>
      <c r="F23" s="8">
        <v>65</v>
      </c>
      <c r="G23" s="8">
        <v>75</v>
      </c>
      <c r="H23" s="8">
        <v>70</v>
      </c>
      <c r="I23">
        <f t="shared" si="0"/>
        <v>210</v>
      </c>
      <c r="J23">
        <f t="shared" si="1"/>
        <v>70</v>
      </c>
      <c r="K23" s="7" t="str">
        <f t="shared" si="2"/>
        <v>pass</v>
      </c>
    </row>
    <row r="24" spans="1:11" x14ac:dyDescent="0.25">
      <c r="A24" t="str">
        <f>PROPER(TRIM('raw data'!A24))</f>
        <v>Male</v>
      </c>
      <c r="B24" t="str">
        <f>PROPER(TRIM('raw data'!B24))</f>
        <v>Group D</v>
      </c>
      <c r="C24" s="7" t="str">
        <f>PROPER(TRIM('raw data'!C24))</f>
        <v>Some College</v>
      </c>
      <c r="D24" s="7" t="str">
        <f>PROPER(TRIM('raw data'!D24))</f>
        <v>Standard</v>
      </c>
      <c r="E24" s="7" t="str">
        <f>PROPER(TRIM('raw data'!E24))</f>
        <v>None</v>
      </c>
      <c r="F24" s="8">
        <v>44</v>
      </c>
      <c r="G24" s="8">
        <v>54</v>
      </c>
      <c r="H24" s="8">
        <v>53</v>
      </c>
      <c r="I24">
        <f t="shared" si="0"/>
        <v>151</v>
      </c>
      <c r="J24">
        <f t="shared" si="1"/>
        <v>50.333333333333336</v>
      </c>
      <c r="K24" s="7" t="str">
        <f t="shared" si="2"/>
        <v>pass</v>
      </c>
    </row>
    <row r="25" spans="1:11" x14ac:dyDescent="0.25">
      <c r="A25" t="str">
        <f>PROPER(TRIM('raw data'!A25))</f>
        <v>Female</v>
      </c>
      <c r="B25" t="str">
        <f>PROPER(TRIM('raw data'!B25))</f>
        <v>Group C</v>
      </c>
      <c r="C25" s="7" t="str">
        <f>PROPER(TRIM('raw data'!C25))</f>
        <v>Some High School</v>
      </c>
      <c r="D25" s="7" t="str">
        <f>PROPER(TRIM('raw data'!D25))</f>
        <v>Standard</v>
      </c>
      <c r="E25" s="7" t="str">
        <f>PROPER(TRIM('raw data'!E25))</f>
        <v>None</v>
      </c>
      <c r="F25" s="8">
        <v>69</v>
      </c>
      <c r="G25" s="8">
        <v>73</v>
      </c>
      <c r="H25" s="8">
        <v>73</v>
      </c>
      <c r="I25">
        <f t="shared" si="0"/>
        <v>215</v>
      </c>
      <c r="J25">
        <f t="shared" si="1"/>
        <v>71.666666666666671</v>
      </c>
      <c r="K25" s="7" t="str">
        <f t="shared" si="2"/>
        <v>pass</v>
      </c>
    </row>
    <row r="26" spans="1:11" x14ac:dyDescent="0.25">
      <c r="A26" t="str">
        <f>PROPER(TRIM('raw data'!A26))</f>
        <v>Male</v>
      </c>
      <c r="B26" t="str">
        <f>PROPER(TRIM('raw data'!B26))</f>
        <v>Group D</v>
      </c>
      <c r="C26" s="7" t="str">
        <f>PROPER(TRIM('raw data'!C26))</f>
        <v>Bachelor'S Degree</v>
      </c>
      <c r="D26" s="7" t="str">
        <f>PROPER(TRIM('raw data'!D26))</f>
        <v>Free/Reduced</v>
      </c>
      <c r="E26" s="7" t="str">
        <f>PROPER(TRIM('raw data'!E26))</f>
        <v>Completed</v>
      </c>
      <c r="F26" s="8">
        <v>74</v>
      </c>
      <c r="G26" s="8">
        <v>71</v>
      </c>
      <c r="H26" s="8">
        <v>80</v>
      </c>
      <c r="I26">
        <f t="shared" si="0"/>
        <v>225</v>
      </c>
      <c r="J26">
        <f t="shared" si="1"/>
        <v>75</v>
      </c>
      <c r="K26" s="7" t="str">
        <f t="shared" si="2"/>
        <v>pass</v>
      </c>
    </row>
    <row r="27" spans="1:11" x14ac:dyDescent="0.25">
      <c r="A27" t="str">
        <f>PROPER(TRIM('raw data'!A27))</f>
        <v>Male</v>
      </c>
      <c r="B27" t="str">
        <f>PROPER(TRIM('raw data'!B27))</f>
        <v>Group A</v>
      </c>
      <c r="C27" s="7" t="str">
        <f>PROPER(TRIM('raw data'!C27))</f>
        <v>Master'S Degree</v>
      </c>
      <c r="D27" s="7" t="str">
        <f>PROPER(TRIM('raw data'!D27))</f>
        <v>Free/Reduced</v>
      </c>
      <c r="E27" s="7" t="str">
        <f>PROPER(TRIM('raw data'!E27))</f>
        <v>None</v>
      </c>
      <c r="F27" s="8">
        <v>73</v>
      </c>
      <c r="G27" s="8">
        <v>74</v>
      </c>
      <c r="H27" s="8">
        <v>72</v>
      </c>
      <c r="I27">
        <f t="shared" si="0"/>
        <v>219</v>
      </c>
      <c r="J27">
        <f t="shared" si="1"/>
        <v>73</v>
      </c>
      <c r="K27" s="7" t="str">
        <f t="shared" si="2"/>
        <v>pass</v>
      </c>
    </row>
    <row r="28" spans="1:11" x14ac:dyDescent="0.25">
      <c r="A28" t="str">
        <f>PROPER(TRIM('raw data'!A28))</f>
        <v>Male</v>
      </c>
      <c r="B28" t="str">
        <f>PROPER(TRIM('raw data'!B28))</f>
        <v>Group B</v>
      </c>
      <c r="C28" s="7" t="str">
        <f>PROPER(TRIM('raw data'!C28))</f>
        <v>Some College</v>
      </c>
      <c r="D28" s="7" t="str">
        <f>PROPER(TRIM('raw data'!D28))</f>
        <v>Standard</v>
      </c>
      <c r="E28" s="7" t="str">
        <f>PROPER(TRIM('raw data'!E28))</f>
        <v>None</v>
      </c>
      <c r="F28" s="8">
        <v>69</v>
      </c>
      <c r="G28" s="8">
        <v>54</v>
      </c>
      <c r="H28" s="8">
        <v>55</v>
      </c>
      <c r="I28">
        <f t="shared" si="0"/>
        <v>178</v>
      </c>
      <c r="J28">
        <f t="shared" si="1"/>
        <v>59.333333333333336</v>
      </c>
      <c r="K28" s="7" t="str">
        <f t="shared" si="2"/>
        <v>pass</v>
      </c>
    </row>
    <row r="29" spans="1:11" x14ac:dyDescent="0.25">
      <c r="A29" t="str">
        <f>PROPER(TRIM('raw data'!A29))</f>
        <v>Female</v>
      </c>
      <c r="B29" t="str">
        <f>PROPER(TRIM('raw data'!B29))</f>
        <v>Group C</v>
      </c>
      <c r="C29" s="7" t="str">
        <f>PROPER(TRIM('raw data'!C29))</f>
        <v>Bachelor'S Degree</v>
      </c>
      <c r="D29" s="7" t="str">
        <f>PROPER(TRIM('raw data'!D29))</f>
        <v>Standard</v>
      </c>
      <c r="E29" s="7" t="str">
        <f>PROPER(TRIM('raw data'!E29))</f>
        <v>None</v>
      </c>
      <c r="F29" s="8">
        <v>67</v>
      </c>
      <c r="G29" s="8">
        <v>69</v>
      </c>
      <c r="H29" s="8">
        <v>75</v>
      </c>
      <c r="I29">
        <f t="shared" si="0"/>
        <v>211</v>
      </c>
      <c r="J29">
        <f t="shared" si="1"/>
        <v>70.333333333333329</v>
      </c>
      <c r="K29" s="7" t="str">
        <f t="shared" si="2"/>
        <v>pass</v>
      </c>
    </row>
    <row r="30" spans="1:11" x14ac:dyDescent="0.25">
      <c r="A30" t="str">
        <f>PROPER(TRIM('raw data'!A30))</f>
        <v>Male</v>
      </c>
      <c r="B30" t="str">
        <f>PROPER(TRIM('raw data'!B30))</f>
        <v>Group C</v>
      </c>
      <c r="C30" s="7" t="str">
        <f>PROPER(TRIM('raw data'!C30))</f>
        <v>High School</v>
      </c>
      <c r="D30" s="7" t="str">
        <f>PROPER(TRIM('raw data'!D30))</f>
        <v>Standard</v>
      </c>
      <c r="E30" s="7" t="str">
        <f>PROPER(TRIM('raw data'!E30))</f>
        <v>None</v>
      </c>
      <c r="F30" s="8">
        <v>70</v>
      </c>
      <c r="G30" s="8">
        <v>70</v>
      </c>
      <c r="H30" s="8">
        <v>65</v>
      </c>
      <c r="I30">
        <f t="shared" si="0"/>
        <v>205</v>
      </c>
      <c r="J30">
        <f t="shared" si="1"/>
        <v>68.333333333333329</v>
      </c>
      <c r="K30" s="7" t="str">
        <f t="shared" si="2"/>
        <v>pass</v>
      </c>
    </row>
    <row r="31" spans="1:11" x14ac:dyDescent="0.25">
      <c r="A31" t="str">
        <f>PROPER(TRIM('raw data'!A31))</f>
        <v>Female</v>
      </c>
      <c r="B31" t="str">
        <f>PROPER(TRIM('raw data'!B31))</f>
        <v>Group D</v>
      </c>
      <c r="C31" s="7" t="str">
        <f>PROPER(TRIM('raw data'!C31))</f>
        <v>Master'S Degree</v>
      </c>
      <c r="D31" s="7" t="str">
        <f>PROPER(TRIM('raw data'!D31))</f>
        <v>Standard</v>
      </c>
      <c r="E31" s="7" t="str">
        <f>PROPER(TRIM('raw data'!E31))</f>
        <v>None</v>
      </c>
      <c r="F31" s="8">
        <v>62</v>
      </c>
      <c r="G31" s="8">
        <v>70</v>
      </c>
      <c r="H31" s="8">
        <v>75</v>
      </c>
      <c r="I31">
        <f t="shared" si="0"/>
        <v>207</v>
      </c>
      <c r="J31">
        <f t="shared" si="1"/>
        <v>69</v>
      </c>
      <c r="K31" s="7" t="str">
        <f t="shared" si="2"/>
        <v>pass</v>
      </c>
    </row>
    <row r="32" spans="1:11" x14ac:dyDescent="0.25">
      <c r="A32" t="str">
        <f>PROPER(TRIM('raw data'!A32))</f>
        <v>Female</v>
      </c>
      <c r="B32" t="str">
        <f>PROPER(TRIM('raw data'!B32))</f>
        <v>Group D</v>
      </c>
      <c r="C32" s="7" t="str">
        <f>PROPER(TRIM('raw data'!C32))</f>
        <v>Some College</v>
      </c>
      <c r="D32" s="7" t="str">
        <f>PROPER(TRIM('raw data'!D32))</f>
        <v>Standard</v>
      </c>
      <c r="E32" s="7" t="str">
        <f>PROPER(TRIM('raw data'!E32))</f>
        <v>None</v>
      </c>
      <c r="F32" s="8">
        <v>69</v>
      </c>
      <c r="G32" s="8">
        <v>74</v>
      </c>
      <c r="H32" s="8">
        <v>74</v>
      </c>
      <c r="I32">
        <f t="shared" si="0"/>
        <v>217</v>
      </c>
      <c r="J32">
        <f t="shared" si="1"/>
        <v>72.333333333333329</v>
      </c>
      <c r="K32" s="7" t="str">
        <f t="shared" si="2"/>
        <v>pass</v>
      </c>
    </row>
    <row r="33" spans="1:11" x14ac:dyDescent="0.25">
      <c r="A33" t="str">
        <f>PROPER(TRIM('raw data'!A33))</f>
        <v>Female</v>
      </c>
      <c r="B33" t="str">
        <f>PROPER(TRIM('raw data'!B33))</f>
        <v>Group B</v>
      </c>
      <c r="C33" s="7" t="str">
        <f>PROPER(TRIM('raw data'!C33))</f>
        <v>Some College</v>
      </c>
      <c r="D33" s="7" t="str">
        <f>PROPER(TRIM('raw data'!D33))</f>
        <v>Standard</v>
      </c>
      <c r="E33" s="7" t="str">
        <f>PROPER(TRIM('raw data'!E33))</f>
        <v>None</v>
      </c>
      <c r="F33" s="8">
        <v>63</v>
      </c>
      <c r="G33" s="8">
        <v>65</v>
      </c>
      <c r="H33" s="8">
        <v>61</v>
      </c>
      <c r="I33">
        <f t="shared" si="0"/>
        <v>189</v>
      </c>
      <c r="J33">
        <f t="shared" si="1"/>
        <v>63</v>
      </c>
      <c r="K33" s="7" t="str">
        <f t="shared" si="2"/>
        <v>pass</v>
      </c>
    </row>
    <row r="34" spans="1:11" x14ac:dyDescent="0.25">
      <c r="A34" t="str">
        <f>PROPER(TRIM('raw data'!A34))</f>
        <v>Female</v>
      </c>
      <c r="B34" t="str">
        <f>PROPER(TRIM('raw data'!B34))</f>
        <v>Group E</v>
      </c>
      <c r="C34" s="7" t="str">
        <f>PROPER(TRIM('raw data'!C34))</f>
        <v>Master'S Degree</v>
      </c>
      <c r="D34" s="7" t="str">
        <f>PROPER(TRIM('raw data'!D34))</f>
        <v>Free/Reduced</v>
      </c>
      <c r="E34" s="7" t="str">
        <f>PROPER(TRIM('raw data'!E34))</f>
        <v>None</v>
      </c>
      <c r="F34" s="8">
        <v>56</v>
      </c>
      <c r="G34" s="8">
        <v>72</v>
      </c>
      <c r="H34" s="8">
        <v>65</v>
      </c>
      <c r="I34">
        <f t="shared" si="0"/>
        <v>193</v>
      </c>
      <c r="J34">
        <f t="shared" si="1"/>
        <v>64.333333333333329</v>
      </c>
      <c r="K34" s="7" t="str">
        <f t="shared" si="2"/>
        <v>pass</v>
      </c>
    </row>
    <row r="35" spans="1:11" x14ac:dyDescent="0.25">
      <c r="A35" t="str">
        <f>PROPER(TRIM('raw data'!A35))</f>
        <v>Male</v>
      </c>
      <c r="B35" t="str">
        <f>PROPER(TRIM('raw data'!B35))</f>
        <v>Group D</v>
      </c>
      <c r="C35" s="7" t="str">
        <f>PROPER(TRIM('raw data'!C35))</f>
        <v>Some College</v>
      </c>
      <c r="D35" s="7" t="str">
        <f>PROPER(TRIM('raw data'!D35))</f>
        <v>Standard</v>
      </c>
      <c r="E35" s="7" t="str">
        <f>PROPER(TRIM('raw data'!E35))</f>
        <v>None</v>
      </c>
      <c r="F35" s="8">
        <v>40</v>
      </c>
      <c r="G35" s="8">
        <v>42</v>
      </c>
      <c r="H35" s="8">
        <v>38</v>
      </c>
      <c r="I35">
        <f t="shared" si="0"/>
        <v>120</v>
      </c>
      <c r="J35">
        <f t="shared" si="1"/>
        <v>40</v>
      </c>
      <c r="K35" s="7" t="str">
        <f t="shared" si="2"/>
        <v>pass</v>
      </c>
    </row>
    <row r="36" spans="1:11" x14ac:dyDescent="0.25">
      <c r="A36" t="str">
        <f>PROPER(TRIM('raw data'!A36))</f>
        <v>Male</v>
      </c>
      <c r="B36" t="str">
        <f>PROPER(TRIM('raw data'!B36))</f>
        <v>Group E</v>
      </c>
      <c r="C36" s="7" t="str">
        <f>PROPER(TRIM('raw data'!C36))</f>
        <v>Some College</v>
      </c>
      <c r="D36" s="7" t="str">
        <f>PROPER(TRIM('raw data'!D36))</f>
        <v>Standard</v>
      </c>
      <c r="E36" s="7" t="str">
        <f>PROPER(TRIM('raw data'!E36))</f>
        <v>None</v>
      </c>
      <c r="F36" s="8">
        <v>97</v>
      </c>
      <c r="G36" s="8">
        <v>87</v>
      </c>
      <c r="H36" s="8">
        <v>82</v>
      </c>
      <c r="I36">
        <f t="shared" si="0"/>
        <v>266</v>
      </c>
      <c r="J36">
        <f t="shared" si="1"/>
        <v>88.666666666666671</v>
      </c>
      <c r="K36" s="7" t="str">
        <f t="shared" si="2"/>
        <v>pass</v>
      </c>
    </row>
    <row r="37" spans="1:11" x14ac:dyDescent="0.25">
      <c r="A37" t="str">
        <f>PROPER(TRIM('raw data'!A37))</f>
        <v>Male</v>
      </c>
      <c r="B37" t="str">
        <f>PROPER(TRIM('raw data'!B37))</f>
        <v>Group E</v>
      </c>
      <c r="C37" s="7" t="str">
        <f>PROPER(TRIM('raw data'!C37))</f>
        <v>Associate'S Degree</v>
      </c>
      <c r="D37" s="7" t="str">
        <f>PROPER(TRIM('raw data'!D37))</f>
        <v>Standard</v>
      </c>
      <c r="E37" s="7" t="str">
        <f>PROPER(TRIM('raw data'!E37))</f>
        <v>Completed</v>
      </c>
      <c r="F37" s="8">
        <v>81</v>
      </c>
      <c r="G37" s="8">
        <v>81</v>
      </c>
      <c r="H37" s="8">
        <v>79</v>
      </c>
      <c r="I37">
        <f t="shared" si="0"/>
        <v>241</v>
      </c>
      <c r="J37">
        <f t="shared" si="1"/>
        <v>80.333333333333329</v>
      </c>
      <c r="K37" s="7" t="str">
        <f t="shared" si="2"/>
        <v>pass</v>
      </c>
    </row>
    <row r="38" spans="1:11" x14ac:dyDescent="0.25">
      <c r="A38" t="str">
        <f>PROPER(TRIM('raw data'!A38))</f>
        <v>Female</v>
      </c>
      <c r="B38" t="str">
        <f>PROPER(TRIM('raw data'!B38))</f>
        <v>Group D</v>
      </c>
      <c r="C38" s="7" t="str">
        <f>PROPER(TRIM('raw data'!C38))</f>
        <v>Associate'S Degree</v>
      </c>
      <c r="D38" s="7" t="str">
        <f>PROPER(TRIM('raw data'!D38))</f>
        <v>Standard</v>
      </c>
      <c r="E38" s="7" t="str">
        <f>PROPER(TRIM('raw data'!E38))</f>
        <v>None</v>
      </c>
      <c r="F38" s="8">
        <v>74</v>
      </c>
      <c r="G38" s="8">
        <v>81</v>
      </c>
      <c r="H38" s="8">
        <v>83</v>
      </c>
      <c r="I38">
        <f t="shared" si="0"/>
        <v>238</v>
      </c>
      <c r="J38">
        <f t="shared" si="1"/>
        <v>79.333333333333329</v>
      </c>
      <c r="K38" s="7" t="str">
        <f t="shared" si="2"/>
        <v>pass</v>
      </c>
    </row>
    <row r="39" spans="1:11" x14ac:dyDescent="0.25">
      <c r="A39" t="str">
        <f>PROPER(TRIM('raw data'!A39))</f>
        <v>Female</v>
      </c>
      <c r="B39" t="str">
        <f>PROPER(TRIM('raw data'!B39))</f>
        <v>Group D</v>
      </c>
      <c r="C39" s="7" t="str">
        <f>PROPER(TRIM('raw data'!C39))</f>
        <v>Some High School</v>
      </c>
      <c r="D39" s="7" t="str">
        <f>PROPER(TRIM('raw data'!D39))</f>
        <v>Free/Reduced</v>
      </c>
      <c r="E39" s="7" t="str">
        <f>PROPER(TRIM('raw data'!E39))</f>
        <v>None</v>
      </c>
      <c r="F39" s="8">
        <v>50</v>
      </c>
      <c r="G39" s="8">
        <v>64</v>
      </c>
      <c r="H39" s="8">
        <v>59</v>
      </c>
      <c r="I39">
        <f t="shared" si="0"/>
        <v>173</v>
      </c>
      <c r="J39">
        <f t="shared" si="1"/>
        <v>57.666666666666664</v>
      </c>
      <c r="K39" s="7" t="str">
        <f t="shared" si="2"/>
        <v>pass</v>
      </c>
    </row>
    <row r="40" spans="1:11" x14ac:dyDescent="0.25">
      <c r="A40" t="str">
        <f>PROPER(TRIM('raw data'!A40))</f>
        <v>Female</v>
      </c>
      <c r="B40" t="str">
        <f>PROPER(TRIM('raw data'!B40))</f>
        <v>Group D</v>
      </c>
      <c r="C40" s="7" t="str">
        <f>PROPER(TRIM('raw data'!C40))</f>
        <v>Associate'S Degree</v>
      </c>
      <c r="D40" s="7" t="str">
        <f>PROPER(TRIM('raw data'!D40))</f>
        <v>Free/Reduced</v>
      </c>
      <c r="E40" s="7" t="str">
        <f>PROPER(TRIM('raw data'!E40))</f>
        <v>Completed</v>
      </c>
      <c r="F40" s="8">
        <v>75</v>
      </c>
      <c r="G40" s="8">
        <v>90</v>
      </c>
      <c r="H40" s="8">
        <v>88</v>
      </c>
      <c r="I40">
        <f t="shared" si="0"/>
        <v>253</v>
      </c>
      <c r="J40">
        <f t="shared" si="1"/>
        <v>84.333333333333329</v>
      </c>
      <c r="K40" s="7" t="str">
        <f t="shared" si="2"/>
        <v>pass</v>
      </c>
    </row>
    <row r="41" spans="1:11" x14ac:dyDescent="0.25">
      <c r="A41" t="str">
        <f>PROPER(TRIM('raw data'!A41))</f>
        <v>Male</v>
      </c>
      <c r="B41" t="str">
        <f>PROPER(TRIM('raw data'!B41))</f>
        <v>Group B</v>
      </c>
      <c r="C41" s="7" t="str">
        <f>PROPER(TRIM('raw data'!C41))</f>
        <v>Associate'S Degree</v>
      </c>
      <c r="D41" s="7" t="str">
        <f>PROPER(TRIM('raw data'!D41))</f>
        <v>Free/Reduced</v>
      </c>
      <c r="E41" s="7" t="str">
        <f>PROPER(TRIM('raw data'!E41))</f>
        <v>None</v>
      </c>
      <c r="F41" s="8">
        <v>57</v>
      </c>
      <c r="G41" s="8">
        <v>56</v>
      </c>
      <c r="H41" s="8">
        <v>57</v>
      </c>
      <c r="I41">
        <f t="shared" si="0"/>
        <v>170</v>
      </c>
      <c r="J41">
        <f t="shared" si="1"/>
        <v>56.666666666666664</v>
      </c>
      <c r="K41" s="7" t="str">
        <f t="shared" si="2"/>
        <v>pass</v>
      </c>
    </row>
    <row r="42" spans="1:11" x14ac:dyDescent="0.25">
      <c r="A42" t="str">
        <f>PROPER(TRIM('raw data'!A42))</f>
        <v>Male</v>
      </c>
      <c r="B42" t="str">
        <f>PROPER(TRIM('raw data'!B42))</f>
        <v>Group C</v>
      </c>
      <c r="C42" s="7" t="str">
        <f>PROPER(TRIM('raw data'!C42))</f>
        <v>Associate'S Degree</v>
      </c>
      <c r="D42" s="7" t="str">
        <f>PROPER(TRIM('raw data'!D42))</f>
        <v>Free/Reduced</v>
      </c>
      <c r="E42" s="7" t="str">
        <f>PROPER(TRIM('raw data'!E42))</f>
        <v>None</v>
      </c>
      <c r="F42" s="8">
        <v>55</v>
      </c>
      <c r="G42" s="8">
        <v>61</v>
      </c>
      <c r="H42" s="8">
        <v>54</v>
      </c>
      <c r="I42">
        <f t="shared" si="0"/>
        <v>170</v>
      </c>
      <c r="J42">
        <f t="shared" si="1"/>
        <v>56.666666666666664</v>
      </c>
      <c r="K42" s="7" t="str">
        <f t="shared" si="2"/>
        <v>pass</v>
      </c>
    </row>
    <row r="43" spans="1:11" x14ac:dyDescent="0.25">
      <c r="A43" t="str">
        <f>PROPER(TRIM('raw data'!A43))</f>
        <v>Female</v>
      </c>
      <c r="B43" t="str">
        <f>PROPER(TRIM('raw data'!B43))</f>
        <v>Group C</v>
      </c>
      <c r="C43" s="7" t="str">
        <f>PROPER(TRIM('raw data'!C43))</f>
        <v>Associate'S Degree</v>
      </c>
      <c r="D43" s="7" t="str">
        <f>PROPER(TRIM('raw data'!D43))</f>
        <v>Standard</v>
      </c>
      <c r="E43" s="7" t="str">
        <f>PROPER(TRIM('raw data'!E43))</f>
        <v>None</v>
      </c>
      <c r="F43" s="8">
        <v>58</v>
      </c>
      <c r="G43" s="8">
        <v>73</v>
      </c>
      <c r="H43" s="8">
        <v>68</v>
      </c>
      <c r="I43">
        <f t="shared" si="0"/>
        <v>199</v>
      </c>
      <c r="J43">
        <f t="shared" si="1"/>
        <v>66.333333333333329</v>
      </c>
      <c r="K43" s="7" t="str">
        <f t="shared" si="2"/>
        <v>pass</v>
      </c>
    </row>
    <row r="44" spans="1:11" x14ac:dyDescent="0.25">
      <c r="A44" t="str">
        <f>PROPER(TRIM('raw data'!A44))</f>
        <v>Female</v>
      </c>
      <c r="B44" t="str">
        <f>PROPER(TRIM('raw data'!B44))</f>
        <v>Group B</v>
      </c>
      <c r="C44" s="7" t="str">
        <f>PROPER(TRIM('raw data'!C44))</f>
        <v>Associate'S Degree</v>
      </c>
      <c r="D44" s="7" t="str">
        <f>PROPER(TRIM('raw data'!D44))</f>
        <v>Standard</v>
      </c>
      <c r="E44" s="7" t="str">
        <f>PROPER(TRIM('raw data'!E44))</f>
        <v>None</v>
      </c>
      <c r="F44" s="8">
        <v>53</v>
      </c>
      <c r="G44" s="8">
        <v>58</v>
      </c>
      <c r="H44" s="8">
        <v>65</v>
      </c>
      <c r="I44">
        <f t="shared" si="0"/>
        <v>176</v>
      </c>
      <c r="J44">
        <f t="shared" si="1"/>
        <v>58.666666666666664</v>
      </c>
      <c r="K44" s="7" t="str">
        <f t="shared" si="2"/>
        <v>pass</v>
      </c>
    </row>
    <row r="45" spans="1:11" x14ac:dyDescent="0.25">
      <c r="A45" t="str">
        <f>PROPER(TRIM('raw data'!A45))</f>
        <v>Male</v>
      </c>
      <c r="B45" t="str">
        <f>PROPER(TRIM('raw data'!B45))</f>
        <v>Group B</v>
      </c>
      <c r="C45" s="7" t="str">
        <f>PROPER(TRIM('raw data'!C45))</f>
        <v>Some College</v>
      </c>
      <c r="D45" s="7" t="str">
        <f>PROPER(TRIM('raw data'!D45))</f>
        <v>Free/Reduced</v>
      </c>
      <c r="E45" s="7" t="str">
        <f>PROPER(TRIM('raw data'!E45))</f>
        <v>Completed</v>
      </c>
      <c r="F45" s="8">
        <v>59</v>
      </c>
      <c r="G45" s="8">
        <v>65</v>
      </c>
      <c r="H45" s="8">
        <v>66</v>
      </c>
      <c r="I45">
        <f t="shared" si="0"/>
        <v>190</v>
      </c>
      <c r="J45">
        <f t="shared" si="1"/>
        <v>63.333333333333336</v>
      </c>
      <c r="K45" s="7" t="str">
        <f t="shared" si="2"/>
        <v>pass</v>
      </c>
    </row>
    <row r="46" spans="1:11" x14ac:dyDescent="0.25">
      <c r="A46" t="str">
        <f>PROPER(TRIM('raw data'!A46))</f>
        <v>Female</v>
      </c>
      <c r="B46" t="str">
        <f>PROPER(TRIM('raw data'!B46))</f>
        <v>Group E</v>
      </c>
      <c r="C46" s="7" t="str">
        <f>PROPER(TRIM('raw data'!C46))</f>
        <v>Associate'S Degree</v>
      </c>
      <c r="D46" s="7" t="str">
        <f>PROPER(TRIM('raw data'!D46))</f>
        <v>Free/Reduced</v>
      </c>
      <c r="E46" s="7" t="str">
        <f>PROPER(TRIM('raw data'!E46))</f>
        <v>None</v>
      </c>
      <c r="F46" s="8">
        <v>50</v>
      </c>
      <c r="G46" s="8">
        <v>56</v>
      </c>
      <c r="H46" s="8">
        <v>54</v>
      </c>
      <c r="I46">
        <f t="shared" si="0"/>
        <v>160</v>
      </c>
      <c r="J46">
        <f t="shared" si="1"/>
        <v>53.333333333333336</v>
      </c>
      <c r="K46" s="7" t="str">
        <f t="shared" si="2"/>
        <v>pass</v>
      </c>
    </row>
    <row r="47" spans="1:11" x14ac:dyDescent="0.25">
      <c r="A47" t="str">
        <f>PROPER(TRIM('raw data'!A47))</f>
        <v>Male</v>
      </c>
      <c r="B47" t="str">
        <f>PROPER(TRIM('raw data'!B47))</f>
        <v>Group B</v>
      </c>
      <c r="C47" s="7" t="str">
        <f>PROPER(TRIM('raw data'!C47))</f>
        <v>Associate'S Degree</v>
      </c>
      <c r="D47" s="7" t="str">
        <f>PROPER(TRIM('raw data'!D47))</f>
        <v>Standard</v>
      </c>
      <c r="E47" s="7" t="str">
        <f>PROPER(TRIM('raw data'!E47))</f>
        <v>None</v>
      </c>
      <c r="F47" s="8">
        <v>65</v>
      </c>
      <c r="G47" s="8">
        <v>54</v>
      </c>
      <c r="H47" s="8">
        <v>57</v>
      </c>
      <c r="I47">
        <f t="shared" si="0"/>
        <v>176</v>
      </c>
      <c r="J47">
        <f t="shared" si="1"/>
        <v>58.666666666666664</v>
      </c>
      <c r="K47" s="7" t="str">
        <f t="shared" si="2"/>
        <v>pass</v>
      </c>
    </row>
    <row r="48" spans="1:11" x14ac:dyDescent="0.25">
      <c r="A48" t="str">
        <f>PROPER(TRIM('raw data'!A48))</f>
        <v>Female</v>
      </c>
      <c r="B48" t="str">
        <f>PROPER(TRIM('raw data'!B48))</f>
        <v>Group A</v>
      </c>
      <c r="C48" s="7" t="str">
        <f>PROPER(TRIM('raw data'!C48))</f>
        <v>Associate'S Degree</v>
      </c>
      <c r="D48" s="7" t="str">
        <f>PROPER(TRIM('raw data'!D48))</f>
        <v>Standard</v>
      </c>
      <c r="E48" s="7" t="str">
        <f>PROPER(TRIM('raw data'!E48))</f>
        <v>Completed</v>
      </c>
      <c r="F48" s="8">
        <v>55</v>
      </c>
      <c r="G48" s="8">
        <v>65</v>
      </c>
      <c r="H48" s="8">
        <v>62</v>
      </c>
      <c r="I48">
        <f t="shared" si="0"/>
        <v>182</v>
      </c>
      <c r="J48">
        <f t="shared" si="1"/>
        <v>60.666666666666664</v>
      </c>
      <c r="K48" s="7" t="str">
        <f t="shared" si="2"/>
        <v>pass</v>
      </c>
    </row>
    <row r="49" spans="1:11" x14ac:dyDescent="0.25">
      <c r="A49" t="str">
        <f>PROPER(TRIM('raw data'!A49))</f>
        <v>Female</v>
      </c>
      <c r="B49" t="str">
        <f>PROPER(TRIM('raw data'!B49))</f>
        <v>Group C</v>
      </c>
      <c r="C49" s="7" t="str">
        <f>PROPER(TRIM('raw data'!C49))</f>
        <v>High School</v>
      </c>
      <c r="D49" s="7" t="str">
        <f>PROPER(TRIM('raw data'!D49))</f>
        <v>Standard</v>
      </c>
      <c r="E49" s="7" t="str">
        <f>PROPER(TRIM('raw data'!E49))</f>
        <v>None</v>
      </c>
      <c r="F49" s="8">
        <v>66</v>
      </c>
      <c r="G49" s="8">
        <v>71</v>
      </c>
      <c r="H49" s="8">
        <v>76</v>
      </c>
      <c r="I49">
        <f t="shared" si="0"/>
        <v>213</v>
      </c>
      <c r="J49">
        <f t="shared" si="1"/>
        <v>71</v>
      </c>
      <c r="K49" s="7" t="str">
        <f t="shared" si="2"/>
        <v>pass</v>
      </c>
    </row>
    <row r="50" spans="1:11" x14ac:dyDescent="0.25">
      <c r="A50" t="str">
        <f>PROPER(TRIM('raw data'!A50))</f>
        <v>Female</v>
      </c>
      <c r="B50" t="str">
        <f>PROPER(TRIM('raw data'!B50))</f>
        <v>Group D</v>
      </c>
      <c r="C50" s="7" t="str">
        <f>PROPER(TRIM('raw data'!C50))</f>
        <v>Associate'S Degree</v>
      </c>
      <c r="D50" s="7" t="str">
        <f>PROPER(TRIM('raw data'!D50))</f>
        <v>Free/Reduced</v>
      </c>
      <c r="E50" s="7" t="str">
        <f>PROPER(TRIM('raw data'!E50))</f>
        <v>Completed</v>
      </c>
      <c r="F50" s="8">
        <v>57</v>
      </c>
      <c r="G50" s="8">
        <v>74</v>
      </c>
      <c r="H50" s="8">
        <v>76</v>
      </c>
      <c r="I50">
        <f t="shared" si="0"/>
        <v>207</v>
      </c>
      <c r="J50">
        <f t="shared" si="1"/>
        <v>69</v>
      </c>
      <c r="K50" s="7" t="str">
        <f t="shared" si="2"/>
        <v>pass</v>
      </c>
    </row>
    <row r="51" spans="1:11" x14ac:dyDescent="0.25">
      <c r="A51" t="str">
        <f>PROPER(TRIM('raw data'!A51))</f>
        <v>Male</v>
      </c>
      <c r="B51" t="str">
        <f>PROPER(TRIM('raw data'!B51))</f>
        <v>Group C</v>
      </c>
      <c r="C51" s="7" t="str">
        <f>PROPER(TRIM('raw data'!C51))</f>
        <v>High School</v>
      </c>
      <c r="D51" s="7" t="str">
        <f>PROPER(TRIM('raw data'!D51))</f>
        <v>Standard</v>
      </c>
      <c r="E51" s="7" t="str">
        <f>PROPER(TRIM('raw data'!E51))</f>
        <v>Completed</v>
      </c>
      <c r="F51" s="8">
        <v>82</v>
      </c>
      <c r="G51" s="8">
        <v>84</v>
      </c>
      <c r="H51" s="8">
        <v>82</v>
      </c>
      <c r="I51">
        <f t="shared" si="0"/>
        <v>248</v>
      </c>
      <c r="J51">
        <f t="shared" si="1"/>
        <v>82.666666666666671</v>
      </c>
      <c r="K51" s="7" t="str">
        <f t="shared" si="2"/>
        <v>pass</v>
      </c>
    </row>
    <row r="52" spans="1:11" x14ac:dyDescent="0.25">
      <c r="A52" t="str">
        <f>PROPER(TRIM('raw data'!A52))</f>
        <v>Male</v>
      </c>
      <c r="B52" t="str">
        <f>PROPER(TRIM('raw data'!B52))</f>
        <v>Group E</v>
      </c>
      <c r="C52" s="7" t="str">
        <f>PROPER(TRIM('raw data'!C52))</f>
        <v>Some College</v>
      </c>
      <c r="D52" s="7" t="str">
        <f>PROPER(TRIM('raw data'!D52))</f>
        <v>Standard</v>
      </c>
      <c r="E52" s="7" t="str">
        <f>PROPER(TRIM('raw data'!E52))</f>
        <v>None</v>
      </c>
      <c r="F52" s="8">
        <v>53</v>
      </c>
      <c r="G52" s="8">
        <v>55</v>
      </c>
      <c r="H52" s="8">
        <v>48</v>
      </c>
      <c r="I52">
        <f t="shared" si="0"/>
        <v>156</v>
      </c>
      <c r="J52">
        <f t="shared" si="1"/>
        <v>52</v>
      </c>
      <c r="K52" s="7" t="str">
        <f t="shared" si="2"/>
        <v>pass</v>
      </c>
    </row>
    <row r="53" spans="1:11" x14ac:dyDescent="0.25">
      <c r="A53" t="str">
        <f>PROPER(TRIM('raw data'!A53))</f>
        <v>Male</v>
      </c>
      <c r="B53" t="str">
        <f>PROPER(TRIM('raw data'!B53))</f>
        <v>Group E</v>
      </c>
      <c r="C53" s="7" t="str">
        <f>PROPER(TRIM('raw data'!C53))</f>
        <v>Associate'S Degree</v>
      </c>
      <c r="D53" s="7" t="str">
        <f>PROPER(TRIM('raw data'!D53))</f>
        <v>Free/Reduced</v>
      </c>
      <c r="E53" s="7" t="str">
        <f>PROPER(TRIM('raw data'!E53))</f>
        <v>Completed</v>
      </c>
      <c r="F53" s="8">
        <v>77</v>
      </c>
      <c r="G53" s="8">
        <v>69</v>
      </c>
      <c r="H53" s="8">
        <v>68</v>
      </c>
      <c r="I53">
        <f t="shared" si="0"/>
        <v>214</v>
      </c>
      <c r="J53">
        <f t="shared" si="1"/>
        <v>71.333333333333329</v>
      </c>
      <c r="K53" s="7" t="str">
        <f t="shared" si="2"/>
        <v>pass</v>
      </c>
    </row>
    <row r="54" spans="1:11" x14ac:dyDescent="0.25">
      <c r="A54" t="str">
        <f>PROPER(TRIM('raw data'!A54))</f>
        <v>Male</v>
      </c>
      <c r="B54" t="str">
        <f>PROPER(TRIM('raw data'!B54))</f>
        <v>Group C</v>
      </c>
      <c r="C54" s="7" t="str">
        <f>PROPER(TRIM('raw data'!C54))</f>
        <v>Some College</v>
      </c>
      <c r="D54" s="7" t="str">
        <f>PROPER(TRIM('raw data'!D54))</f>
        <v>Standard</v>
      </c>
      <c r="E54" s="7" t="str">
        <f>PROPER(TRIM('raw data'!E54))</f>
        <v>None</v>
      </c>
      <c r="F54" s="8">
        <v>53</v>
      </c>
      <c r="G54" s="8">
        <v>44</v>
      </c>
      <c r="H54" s="8">
        <v>42</v>
      </c>
      <c r="I54">
        <f t="shared" si="0"/>
        <v>139</v>
      </c>
      <c r="J54">
        <f t="shared" si="1"/>
        <v>46.333333333333336</v>
      </c>
      <c r="K54" s="7" t="str">
        <f t="shared" si="2"/>
        <v>pass</v>
      </c>
    </row>
    <row r="55" spans="1:11" x14ac:dyDescent="0.25">
      <c r="A55" t="str">
        <f>PROPER(TRIM('raw data'!A55))</f>
        <v>Male</v>
      </c>
      <c r="B55" t="str">
        <f>PROPER(TRIM('raw data'!B55))</f>
        <v>Group D</v>
      </c>
      <c r="C55" s="7" t="str">
        <f>PROPER(TRIM('raw data'!C55))</f>
        <v>High School</v>
      </c>
      <c r="D55" s="7" t="str">
        <f>PROPER(TRIM('raw data'!D55))</f>
        <v>Standard</v>
      </c>
      <c r="E55" s="7" t="str">
        <f>PROPER(TRIM('raw data'!E55))</f>
        <v>None</v>
      </c>
      <c r="F55" s="8">
        <v>88</v>
      </c>
      <c r="G55" s="8">
        <v>78</v>
      </c>
      <c r="H55" s="8">
        <v>75</v>
      </c>
      <c r="I55">
        <f t="shared" si="0"/>
        <v>241</v>
      </c>
      <c r="J55">
        <f t="shared" si="1"/>
        <v>80.333333333333329</v>
      </c>
      <c r="K55" s="7" t="str">
        <f t="shared" si="2"/>
        <v>pass</v>
      </c>
    </row>
    <row r="56" spans="1:11" x14ac:dyDescent="0.25">
      <c r="A56" t="str">
        <f>PROPER(TRIM('raw data'!A56))</f>
        <v>Female</v>
      </c>
      <c r="B56" t="str">
        <f>PROPER(TRIM('raw data'!B56))</f>
        <v>Group C</v>
      </c>
      <c r="C56" s="7" t="str">
        <f>PROPER(TRIM('raw data'!C56))</f>
        <v>Some High School</v>
      </c>
      <c r="D56" s="7" t="str">
        <f>PROPER(TRIM('raw data'!D56))</f>
        <v>Free/Reduced</v>
      </c>
      <c r="E56" s="7" t="str">
        <f>PROPER(TRIM('raw data'!E56))</f>
        <v>Completed</v>
      </c>
      <c r="F56" s="8">
        <v>71</v>
      </c>
      <c r="G56" s="8">
        <v>84</v>
      </c>
      <c r="H56" s="8">
        <v>87</v>
      </c>
      <c r="I56">
        <f t="shared" si="0"/>
        <v>242</v>
      </c>
      <c r="J56">
        <f t="shared" si="1"/>
        <v>80.666666666666671</v>
      </c>
      <c r="K56" s="7" t="str">
        <f t="shared" si="2"/>
        <v>pass</v>
      </c>
    </row>
    <row r="57" spans="1:11" x14ac:dyDescent="0.25">
      <c r="A57" t="str">
        <f>PROPER(TRIM('raw data'!A57))</f>
        <v>Female</v>
      </c>
      <c r="B57" t="str">
        <f>PROPER(TRIM('raw data'!B57))</f>
        <v>Group C</v>
      </c>
      <c r="C57" s="7" t="str">
        <f>PROPER(TRIM('raw data'!C57))</f>
        <v>High School</v>
      </c>
      <c r="D57" s="7" t="str">
        <f>PROPER(TRIM('raw data'!D57))</f>
        <v>Free/Reduced</v>
      </c>
      <c r="E57" s="7" t="str">
        <f>PROPER(TRIM('raw data'!E57))</f>
        <v>None</v>
      </c>
      <c r="F57" s="8">
        <v>33</v>
      </c>
      <c r="G57" s="8">
        <v>41</v>
      </c>
      <c r="H57" s="8">
        <v>43</v>
      </c>
      <c r="I57">
        <f t="shared" si="0"/>
        <v>117</v>
      </c>
      <c r="J57">
        <f t="shared" si="1"/>
        <v>39</v>
      </c>
      <c r="K57" s="7" t="str">
        <f t="shared" si="2"/>
        <v>fail</v>
      </c>
    </row>
    <row r="58" spans="1:11" x14ac:dyDescent="0.25">
      <c r="A58" t="str">
        <f>PROPER(TRIM('raw data'!A58))</f>
        <v>Female</v>
      </c>
      <c r="B58" t="str">
        <f>PROPER(TRIM('raw data'!B58))</f>
        <v>Group E</v>
      </c>
      <c r="C58" s="7" t="str">
        <f>PROPER(TRIM('raw data'!C58))</f>
        <v>Associate'S Degree</v>
      </c>
      <c r="D58" s="7" t="str">
        <f>PROPER(TRIM('raw data'!D58))</f>
        <v>Standard</v>
      </c>
      <c r="E58" s="7" t="str">
        <f>PROPER(TRIM('raw data'!E58))</f>
        <v>Completed</v>
      </c>
      <c r="F58" s="8">
        <v>82</v>
      </c>
      <c r="G58" s="8">
        <v>85</v>
      </c>
      <c r="H58" s="8">
        <v>86</v>
      </c>
      <c r="I58">
        <f t="shared" si="0"/>
        <v>253</v>
      </c>
      <c r="J58">
        <f t="shared" si="1"/>
        <v>84.333333333333329</v>
      </c>
      <c r="K58" s="7" t="str">
        <f t="shared" si="2"/>
        <v>pass</v>
      </c>
    </row>
    <row r="59" spans="1:11" x14ac:dyDescent="0.25">
      <c r="A59" t="str">
        <f>PROPER(TRIM('raw data'!A59))</f>
        <v>Male</v>
      </c>
      <c r="B59" t="str">
        <f>PROPER(TRIM('raw data'!B59))</f>
        <v>Group D</v>
      </c>
      <c r="C59" s="7" t="str">
        <f>PROPER(TRIM('raw data'!C59))</f>
        <v>Associate'S Degree</v>
      </c>
      <c r="D59" s="7" t="str">
        <f>PROPER(TRIM('raw data'!D59))</f>
        <v>Standard</v>
      </c>
      <c r="E59" s="7" t="str">
        <f>PROPER(TRIM('raw data'!E59))</f>
        <v>None</v>
      </c>
      <c r="F59" s="8">
        <v>52</v>
      </c>
      <c r="G59" s="8">
        <v>55</v>
      </c>
      <c r="H59" s="8">
        <v>49</v>
      </c>
      <c r="I59">
        <f t="shared" si="0"/>
        <v>156</v>
      </c>
      <c r="J59">
        <f t="shared" si="1"/>
        <v>52</v>
      </c>
      <c r="K59" s="7" t="str">
        <f t="shared" si="2"/>
        <v>pass</v>
      </c>
    </row>
    <row r="60" spans="1:11" x14ac:dyDescent="0.25">
      <c r="A60" t="str">
        <f>PROPER(TRIM('raw data'!A60))</f>
        <v>Male</v>
      </c>
      <c r="B60" t="str">
        <f>PROPER(TRIM('raw data'!B60))</f>
        <v>Group D</v>
      </c>
      <c r="C60" s="7" t="str">
        <f>PROPER(TRIM('raw data'!C60))</f>
        <v>Some College</v>
      </c>
      <c r="D60" s="7" t="str">
        <f>PROPER(TRIM('raw data'!D60))</f>
        <v>Standard</v>
      </c>
      <c r="E60" s="7" t="str">
        <f>PROPER(TRIM('raw data'!E60))</f>
        <v>Completed</v>
      </c>
      <c r="F60" s="8">
        <v>58</v>
      </c>
      <c r="G60" s="8">
        <v>59</v>
      </c>
      <c r="H60" s="8">
        <v>58</v>
      </c>
      <c r="I60">
        <f t="shared" si="0"/>
        <v>175</v>
      </c>
      <c r="J60">
        <f t="shared" si="1"/>
        <v>58.333333333333336</v>
      </c>
      <c r="K60" s="7" t="str">
        <f t="shared" si="2"/>
        <v>pass</v>
      </c>
    </row>
    <row r="61" spans="1:11" x14ac:dyDescent="0.25">
      <c r="A61" t="str">
        <f>PROPER(TRIM('raw data'!A61))</f>
        <v>Female</v>
      </c>
      <c r="B61" t="str">
        <f>PROPER(TRIM('raw data'!B61))</f>
        <v>Group C</v>
      </c>
      <c r="C61" s="7" t="str">
        <f>PROPER(TRIM('raw data'!C61))</f>
        <v>Some High School</v>
      </c>
      <c r="D61" s="7" t="str">
        <f>PROPER(TRIM('raw data'!D61))</f>
        <v>Free/Reduced</v>
      </c>
      <c r="E61" s="7" t="str">
        <f>PROPER(TRIM('raw data'!E61))</f>
        <v>None</v>
      </c>
      <c r="F61" s="8">
        <v>0</v>
      </c>
      <c r="G61" s="8">
        <v>17</v>
      </c>
      <c r="H61" s="8">
        <v>10</v>
      </c>
      <c r="I61">
        <f t="shared" si="0"/>
        <v>27</v>
      </c>
      <c r="J61">
        <f t="shared" si="1"/>
        <v>9</v>
      </c>
      <c r="K61" s="7" t="str">
        <f t="shared" si="2"/>
        <v>fail</v>
      </c>
    </row>
    <row r="62" spans="1:11" x14ac:dyDescent="0.25">
      <c r="A62" t="str">
        <f>PROPER(TRIM('raw data'!A62))</f>
        <v>Male</v>
      </c>
      <c r="B62" t="str">
        <f>PROPER(TRIM('raw data'!B62))</f>
        <v>Group E</v>
      </c>
      <c r="C62" s="7" t="str">
        <f>PROPER(TRIM('raw data'!C62))</f>
        <v>Bachelor'S Degree</v>
      </c>
      <c r="D62" s="7" t="str">
        <f>PROPER(TRIM('raw data'!D62))</f>
        <v>Free/Reduced</v>
      </c>
      <c r="E62" s="7" t="str">
        <f>PROPER(TRIM('raw data'!E62))</f>
        <v>Completed</v>
      </c>
      <c r="F62" s="8">
        <v>79</v>
      </c>
      <c r="G62" s="8">
        <v>74</v>
      </c>
      <c r="H62" s="8">
        <v>72</v>
      </c>
      <c r="I62">
        <f t="shared" si="0"/>
        <v>225</v>
      </c>
      <c r="J62">
        <f t="shared" si="1"/>
        <v>75</v>
      </c>
      <c r="K62" s="7" t="str">
        <f t="shared" si="2"/>
        <v>pass</v>
      </c>
    </row>
    <row r="63" spans="1:11" x14ac:dyDescent="0.25">
      <c r="A63" t="str">
        <f>PROPER(TRIM('raw data'!A63))</f>
        <v>Male</v>
      </c>
      <c r="B63" t="str">
        <f>PROPER(TRIM('raw data'!B63))</f>
        <v>Group A</v>
      </c>
      <c r="C63" s="7" t="str">
        <f>PROPER(TRIM('raw data'!C63))</f>
        <v>Some High School</v>
      </c>
      <c r="D63" s="7" t="str">
        <f>PROPER(TRIM('raw data'!D63))</f>
        <v>Free/Reduced</v>
      </c>
      <c r="E63" s="7" t="str">
        <f>PROPER(TRIM('raw data'!E63))</f>
        <v>None</v>
      </c>
      <c r="F63" s="8">
        <v>39</v>
      </c>
      <c r="G63" s="8">
        <v>39</v>
      </c>
      <c r="H63" s="8">
        <v>34</v>
      </c>
      <c r="I63">
        <f t="shared" si="0"/>
        <v>112</v>
      </c>
      <c r="J63">
        <f t="shared" si="1"/>
        <v>37.333333333333336</v>
      </c>
      <c r="K63" s="7" t="str">
        <f t="shared" si="2"/>
        <v>fail</v>
      </c>
    </row>
    <row r="64" spans="1:11" x14ac:dyDescent="0.25">
      <c r="A64" t="str">
        <f>PROPER(TRIM('raw data'!A64))</f>
        <v>Male</v>
      </c>
      <c r="B64" t="str">
        <f>PROPER(TRIM('raw data'!B64))</f>
        <v>Group A</v>
      </c>
      <c r="C64" s="7" t="str">
        <f>PROPER(TRIM('raw data'!C64))</f>
        <v>Associate'S Degree</v>
      </c>
      <c r="D64" s="7" t="str">
        <f>PROPER(TRIM('raw data'!D64))</f>
        <v>Free/Reduced</v>
      </c>
      <c r="E64" s="7" t="str">
        <f>PROPER(TRIM('raw data'!E64))</f>
        <v>None</v>
      </c>
      <c r="F64" s="8">
        <v>62</v>
      </c>
      <c r="G64" s="8">
        <v>61</v>
      </c>
      <c r="H64" s="8">
        <v>55</v>
      </c>
      <c r="I64">
        <f t="shared" si="0"/>
        <v>178</v>
      </c>
      <c r="J64">
        <f t="shared" si="1"/>
        <v>59.333333333333336</v>
      </c>
      <c r="K64" s="7" t="str">
        <f t="shared" si="2"/>
        <v>pass</v>
      </c>
    </row>
    <row r="65" spans="1:11" x14ac:dyDescent="0.25">
      <c r="A65" t="str">
        <f>PROPER(TRIM('raw data'!A65))</f>
        <v>Female</v>
      </c>
      <c r="B65" t="str">
        <f>PROPER(TRIM('raw data'!B65))</f>
        <v>Group C</v>
      </c>
      <c r="C65" s="7" t="str">
        <f>PROPER(TRIM('raw data'!C65))</f>
        <v>Associate'S Degree</v>
      </c>
      <c r="D65" s="7" t="str">
        <f>PROPER(TRIM('raw data'!D65))</f>
        <v>Standard</v>
      </c>
      <c r="E65" s="7" t="str">
        <f>PROPER(TRIM('raw data'!E65))</f>
        <v>None</v>
      </c>
      <c r="F65" s="8">
        <v>69</v>
      </c>
      <c r="G65" s="8">
        <v>80</v>
      </c>
      <c r="H65" s="8">
        <v>71</v>
      </c>
      <c r="I65">
        <f t="shared" si="0"/>
        <v>220</v>
      </c>
      <c r="J65">
        <f t="shared" si="1"/>
        <v>73.333333333333329</v>
      </c>
      <c r="K65" s="7" t="str">
        <f t="shared" si="2"/>
        <v>pass</v>
      </c>
    </row>
    <row r="66" spans="1:11" x14ac:dyDescent="0.25">
      <c r="A66" t="str">
        <f>PROPER(TRIM('raw data'!A66))</f>
        <v>Female</v>
      </c>
      <c r="B66" t="str">
        <f>PROPER(TRIM('raw data'!B66))</f>
        <v>Group D</v>
      </c>
      <c r="C66" s="7" t="str">
        <f>PROPER(TRIM('raw data'!C66))</f>
        <v>Some High School</v>
      </c>
      <c r="D66" s="7" t="str">
        <f>PROPER(TRIM('raw data'!D66))</f>
        <v>Standard</v>
      </c>
      <c r="E66" s="7" t="str">
        <f>PROPER(TRIM('raw data'!E66))</f>
        <v>None</v>
      </c>
      <c r="F66" s="8">
        <v>59</v>
      </c>
      <c r="G66" s="8">
        <v>58</v>
      </c>
      <c r="H66" s="8">
        <v>59</v>
      </c>
      <c r="I66">
        <f t="shared" si="0"/>
        <v>176</v>
      </c>
      <c r="J66">
        <f t="shared" si="1"/>
        <v>58.666666666666664</v>
      </c>
      <c r="K66" s="7" t="str">
        <f t="shared" si="2"/>
        <v>pass</v>
      </c>
    </row>
    <row r="67" spans="1:11" x14ac:dyDescent="0.25">
      <c r="A67" t="str">
        <f>PROPER(TRIM('raw data'!A67))</f>
        <v>Male</v>
      </c>
      <c r="B67" t="str">
        <f>PROPER(TRIM('raw data'!B67))</f>
        <v>Group B</v>
      </c>
      <c r="C67" s="7" t="str">
        <f>PROPER(TRIM('raw data'!C67))</f>
        <v>Some High School</v>
      </c>
      <c r="D67" s="7" t="str">
        <f>PROPER(TRIM('raw data'!D67))</f>
        <v>Standard</v>
      </c>
      <c r="E67" s="7" t="str">
        <f>PROPER(TRIM('raw data'!E67))</f>
        <v>None</v>
      </c>
      <c r="F67" s="8">
        <v>67</v>
      </c>
      <c r="G67" s="8">
        <v>64</v>
      </c>
      <c r="H67" s="8">
        <v>61</v>
      </c>
      <c r="I67">
        <f t="shared" ref="I67:I130" si="3">F67+G67+H67</f>
        <v>192</v>
      </c>
      <c r="J67">
        <f t="shared" ref="J67:J130" si="4">I67/3</f>
        <v>64</v>
      </c>
      <c r="K67" s="7" t="str">
        <f t="shared" ref="K67:K130" si="5">IF(J67&gt;=40,"pass","fail")</f>
        <v>pass</v>
      </c>
    </row>
    <row r="68" spans="1:11" x14ac:dyDescent="0.25">
      <c r="A68" t="str">
        <f>PROPER(TRIM('raw data'!A68))</f>
        <v>Male</v>
      </c>
      <c r="B68" t="str">
        <f>PROPER(TRIM('raw data'!B68))</f>
        <v>Group D</v>
      </c>
      <c r="C68" s="7" t="str">
        <f>PROPER(TRIM('raw data'!C68))</f>
        <v>Some High School</v>
      </c>
      <c r="D68" s="7" t="str">
        <f>PROPER(TRIM('raw data'!D68))</f>
        <v>Free/Reduced</v>
      </c>
      <c r="E68" s="7" t="str">
        <f>PROPER(TRIM('raw data'!E68))</f>
        <v>None</v>
      </c>
      <c r="F68" s="8">
        <v>45</v>
      </c>
      <c r="G68" s="8">
        <v>37</v>
      </c>
      <c r="H68" s="8">
        <v>37</v>
      </c>
      <c r="I68">
        <f t="shared" si="3"/>
        <v>119</v>
      </c>
      <c r="J68">
        <f t="shared" si="4"/>
        <v>39.666666666666664</v>
      </c>
      <c r="K68" s="7" t="str">
        <f t="shared" si="5"/>
        <v>fail</v>
      </c>
    </row>
    <row r="69" spans="1:11" x14ac:dyDescent="0.25">
      <c r="A69" t="str">
        <f>PROPER(TRIM('raw data'!A69))</f>
        <v>Female</v>
      </c>
      <c r="B69" t="str">
        <f>PROPER(TRIM('raw data'!B69))</f>
        <v>Group C</v>
      </c>
      <c r="C69" s="7" t="str">
        <f>PROPER(TRIM('raw data'!C69))</f>
        <v>Some College</v>
      </c>
      <c r="D69" s="7" t="str">
        <f>PROPER(TRIM('raw data'!D69))</f>
        <v>Standard</v>
      </c>
      <c r="E69" s="7" t="str">
        <f>PROPER(TRIM('raw data'!E69))</f>
        <v>None</v>
      </c>
      <c r="F69" s="8">
        <v>60</v>
      </c>
      <c r="G69" s="8">
        <v>72</v>
      </c>
      <c r="H69" s="8">
        <v>74</v>
      </c>
      <c r="I69">
        <f t="shared" si="3"/>
        <v>206</v>
      </c>
      <c r="J69">
        <f t="shared" si="4"/>
        <v>68.666666666666671</v>
      </c>
      <c r="K69" s="7" t="str">
        <f t="shared" si="5"/>
        <v>pass</v>
      </c>
    </row>
    <row r="70" spans="1:11" x14ac:dyDescent="0.25">
      <c r="A70" t="str">
        <f>PROPER(TRIM('raw data'!A70))</f>
        <v>Male</v>
      </c>
      <c r="B70" t="str">
        <f>PROPER(TRIM('raw data'!B70))</f>
        <v>Group B</v>
      </c>
      <c r="C70" s="7" t="str">
        <f>PROPER(TRIM('raw data'!C70))</f>
        <v>Associate'S Degree</v>
      </c>
      <c r="D70" s="7" t="str">
        <f>PROPER(TRIM('raw data'!D70))</f>
        <v>Free/Reduced</v>
      </c>
      <c r="E70" s="7" t="str">
        <f>PROPER(TRIM('raw data'!E70))</f>
        <v>None</v>
      </c>
      <c r="F70" s="8">
        <v>61</v>
      </c>
      <c r="G70" s="8">
        <v>58</v>
      </c>
      <c r="H70" s="8">
        <v>56</v>
      </c>
      <c r="I70">
        <f t="shared" si="3"/>
        <v>175</v>
      </c>
      <c r="J70">
        <f t="shared" si="4"/>
        <v>58.333333333333336</v>
      </c>
      <c r="K70" s="7" t="str">
        <f t="shared" si="5"/>
        <v>pass</v>
      </c>
    </row>
    <row r="71" spans="1:11" x14ac:dyDescent="0.25">
      <c r="A71" t="str">
        <f>PROPER(TRIM('raw data'!A71))</f>
        <v>Female</v>
      </c>
      <c r="B71" t="str">
        <f>PROPER(TRIM('raw data'!B71))</f>
        <v>Group C</v>
      </c>
      <c r="C71" s="7" t="str">
        <f>PROPER(TRIM('raw data'!C71))</f>
        <v>Associate'S Degree</v>
      </c>
      <c r="D71" s="7" t="str">
        <f>PROPER(TRIM('raw data'!D71))</f>
        <v>Standard</v>
      </c>
      <c r="E71" s="7" t="str">
        <f>PROPER(TRIM('raw data'!E71))</f>
        <v>None</v>
      </c>
      <c r="F71" s="8">
        <v>39</v>
      </c>
      <c r="G71" s="8">
        <v>64</v>
      </c>
      <c r="H71" s="8">
        <v>57</v>
      </c>
      <c r="I71">
        <f t="shared" si="3"/>
        <v>160</v>
      </c>
      <c r="J71">
        <f t="shared" si="4"/>
        <v>53.333333333333336</v>
      </c>
      <c r="K71" s="7" t="str">
        <f t="shared" si="5"/>
        <v>pass</v>
      </c>
    </row>
    <row r="72" spans="1:11" x14ac:dyDescent="0.25">
      <c r="A72" t="str">
        <f>PROPER(TRIM('raw data'!A72))</f>
        <v>Female</v>
      </c>
      <c r="B72" t="str">
        <f>PROPER(TRIM('raw data'!B72))</f>
        <v>Group D</v>
      </c>
      <c r="C72" s="7" t="str">
        <f>PROPER(TRIM('raw data'!C72))</f>
        <v>Some College</v>
      </c>
      <c r="D72" s="7" t="str">
        <f>PROPER(TRIM('raw data'!D72))</f>
        <v>Free/Reduced</v>
      </c>
      <c r="E72" s="7" t="str">
        <f>PROPER(TRIM('raw data'!E72))</f>
        <v>Completed</v>
      </c>
      <c r="F72" s="8">
        <v>58</v>
      </c>
      <c r="G72" s="8">
        <v>63</v>
      </c>
      <c r="H72" s="8">
        <v>73</v>
      </c>
      <c r="I72">
        <f t="shared" si="3"/>
        <v>194</v>
      </c>
      <c r="J72">
        <f t="shared" si="4"/>
        <v>64.666666666666671</v>
      </c>
      <c r="K72" s="7" t="str">
        <f t="shared" si="5"/>
        <v>pass</v>
      </c>
    </row>
    <row r="73" spans="1:11" x14ac:dyDescent="0.25">
      <c r="A73" t="str">
        <f>PROPER(TRIM('raw data'!A73))</f>
        <v>Male</v>
      </c>
      <c r="B73" t="str">
        <f>PROPER(TRIM('raw data'!B73))</f>
        <v>Group D</v>
      </c>
      <c r="C73" s="7" t="str">
        <f>PROPER(TRIM('raw data'!C73))</f>
        <v>Some College</v>
      </c>
      <c r="D73" s="7" t="str">
        <f>PROPER(TRIM('raw data'!D73))</f>
        <v>Standard</v>
      </c>
      <c r="E73" s="7" t="str">
        <f>PROPER(TRIM('raw data'!E73))</f>
        <v>Completed</v>
      </c>
      <c r="F73" s="8">
        <v>63</v>
      </c>
      <c r="G73" s="8">
        <v>55</v>
      </c>
      <c r="H73" s="8">
        <v>63</v>
      </c>
      <c r="I73">
        <f t="shared" si="3"/>
        <v>181</v>
      </c>
      <c r="J73">
        <f t="shared" si="4"/>
        <v>60.333333333333336</v>
      </c>
      <c r="K73" s="7" t="str">
        <f t="shared" si="5"/>
        <v>pass</v>
      </c>
    </row>
    <row r="74" spans="1:11" x14ac:dyDescent="0.25">
      <c r="A74" t="str">
        <f>PROPER(TRIM('raw data'!A74))</f>
        <v>Female</v>
      </c>
      <c r="B74" t="str">
        <f>PROPER(TRIM('raw data'!B74))</f>
        <v>Group A</v>
      </c>
      <c r="C74" s="7" t="str">
        <f>PROPER(TRIM('raw data'!C74))</f>
        <v>Associate'S Degree</v>
      </c>
      <c r="D74" s="7" t="str">
        <f>PROPER(TRIM('raw data'!D74))</f>
        <v>Free/Reduced</v>
      </c>
      <c r="E74" s="7" t="str">
        <f>PROPER(TRIM('raw data'!E74))</f>
        <v>None</v>
      </c>
      <c r="F74" s="8">
        <v>41</v>
      </c>
      <c r="G74" s="8">
        <v>51</v>
      </c>
      <c r="H74" s="8">
        <v>48</v>
      </c>
      <c r="I74">
        <f t="shared" si="3"/>
        <v>140</v>
      </c>
      <c r="J74">
        <f t="shared" si="4"/>
        <v>46.666666666666664</v>
      </c>
      <c r="K74" s="7" t="str">
        <f t="shared" si="5"/>
        <v>pass</v>
      </c>
    </row>
    <row r="75" spans="1:11" x14ac:dyDescent="0.25">
      <c r="A75" t="str">
        <f>PROPER(TRIM('raw data'!A75))</f>
        <v>Male</v>
      </c>
      <c r="B75" t="str">
        <f>PROPER(TRIM('raw data'!B75))</f>
        <v>Group C</v>
      </c>
      <c r="C75" s="7" t="str">
        <f>PROPER(TRIM('raw data'!C75))</f>
        <v>Some High School</v>
      </c>
      <c r="D75" s="7" t="str">
        <f>PROPER(TRIM('raw data'!D75))</f>
        <v>Free/Reduced</v>
      </c>
      <c r="E75" s="7" t="str">
        <f>PROPER(TRIM('raw data'!E75))</f>
        <v>None</v>
      </c>
      <c r="F75" s="8">
        <v>61</v>
      </c>
      <c r="G75" s="8">
        <v>57</v>
      </c>
      <c r="H75" s="8">
        <v>56</v>
      </c>
      <c r="I75">
        <f t="shared" si="3"/>
        <v>174</v>
      </c>
      <c r="J75">
        <f t="shared" si="4"/>
        <v>58</v>
      </c>
      <c r="K75" s="7" t="str">
        <f t="shared" si="5"/>
        <v>pass</v>
      </c>
    </row>
    <row r="76" spans="1:11" x14ac:dyDescent="0.25">
      <c r="A76" t="str">
        <f>PROPER(TRIM('raw data'!A76))</f>
        <v>Male</v>
      </c>
      <c r="B76" t="str">
        <f>PROPER(TRIM('raw data'!B76))</f>
        <v>Group C</v>
      </c>
      <c r="C76" s="7" t="str">
        <f>PROPER(TRIM('raw data'!C76))</f>
        <v>Some High School</v>
      </c>
      <c r="D76" s="7" t="str">
        <f>PROPER(TRIM('raw data'!D76))</f>
        <v>Standard</v>
      </c>
      <c r="E76" s="7" t="str">
        <f>PROPER(TRIM('raw data'!E76))</f>
        <v>None</v>
      </c>
      <c r="F76" s="8">
        <v>49</v>
      </c>
      <c r="G76" s="8">
        <v>49</v>
      </c>
      <c r="H76" s="8">
        <v>41</v>
      </c>
      <c r="I76">
        <f t="shared" si="3"/>
        <v>139</v>
      </c>
      <c r="J76">
        <f t="shared" si="4"/>
        <v>46.333333333333336</v>
      </c>
      <c r="K76" s="7" t="str">
        <f t="shared" si="5"/>
        <v>pass</v>
      </c>
    </row>
    <row r="77" spans="1:11" x14ac:dyDescent="0.25">
      <c r="A77" t="str">
        <f>PROPER(TRIM('raw data'!A77))</f>
        <v>Male</v>
      </c>
      <c r="B77" t="str">
        <f>PROPER(TRIM('raw data'!B77))</f>
        <v>Group B</v>
      </c>
      <c r="C77" s="7" t="str">
        <f>PROPER(TRIM('raw data'!C77))</f>
        <v>Associate'S Degree</v>
      </c>
      <c r="D77" s="7" t="str">
        <f>PROPER(TRIM('raw data'!D77))</f>
        <v>Free/Reduced</v>
      </c>
      <c r="E77" s="7" t="str">
        <f>PROPER(TRIM('raw data'!E77))</f>
        <v>None</v>
      </c>
      <c r="F77" s="8">
        <v>44</v>
      </c>
      <c r="G77" s="8">
        <v>41</v>
      </c>
      <c r="H77" s="8">
        <v>38</v>
      </c>
      <c r="I77">
        <f t="shared" si="3"/>
        <v>123</v>
      </c>
      <c r="J77">
        <f t="shared" si="4"/>
        <v>41</v>
      </c>
      <c r="K77" s="7" t="str">
        <f t="shared" si="5"/>
        <v>pass</v>
      </c>
    </row>
    <row r="78" spans="1:11" x14ac:dyDescent="0.25">
      <c r="A78" t="str">
        <f>PROPER(TRIM('raw data'!A78))</f>
        <v>Male</v>
      </c>
      <c r="B78" t="str">
        <f>PROPER(TRIM('raw data'!B78))</f>
        <v>Group E</v>
      </c>
      <c r="C78" s="7" t="str">
        <f>PROPER(TRIM('raw data'!C78))</f>
        <v>Some High School</v>
      </c>
      <c r="D78" s="7" t="str">
        <f>PROPER(TRIM('raw data'!D78))</f>
        <v>Standard</v>
      </c>
      <c r="E78" s="7" t="str">
        <f>PROPER(TRIM('raw data'!E78))</f>
        <v>None</v>
      </c>
      <c r="F78" s="8">
        <v>30</v>
      </c>
      <c r="G78" s="8">
        <v>26</v>
      </c>
      <c r="H78" s="8">
        <v>22</v>
      </c>
      <c r="I78">
        <f t="shared" si="3"/>
        <v>78</v>
      </c>
      <c r="J78">
        <f t="shared" si="4"/>
        <v>26</v>
      </c>
      <c r="K78" s="7" t="str">
        <f t="shared" si="5"/>
        <v>fail</v>
      </c>
    </row>
    <row r="79" spans="1:11" x14ac:dyDescent="0.25">
      <c r="A79" t="str">
        <f>PROPER(TRIM('raw data'!A79))</f>
        <v>Male</v>
      </c>
      <c r="B79" t="str">
        <f>PROPER(TRIM('raw data'!B79))</f>
        <v>Group A</v>
      </c>
      <c r="C79" s="7" t="str">
        <f>PROPER(TRIM('raw data'!C79))</f>
        <v>Bachelor'S Degree</v>
      </c>
      <c r="D79" s="7" t="str">
        <f>PROPER(TRIM('raw data'!D79))</f>
        <v>Standard</v>
      </c>
      <c r="E79" s="7" t="str">
        <f>PROPER(TRIM('raw data'!E79))</f>
        <v>Completed</v>
      </c>
      <c r="F79" s="8">
        <v>80</v>
      </c>
      <c r="G79" s="8">
        <v>78</v>
      </c>
      <c r="H79" s="8">
        <v>81</v>
      </c>
      <c r="I79">
        <f t="shared" si="3"/>
        <v>239</v>
      </c>
      <c r="J79">
        <f t="shared" si="4"/>
        <v>79.666666666666671</v>
      </c>
      <c r="K79" s="7" t="str">
        <f t="shared" si="5"/>
        <v>pass</v>
      </c>
    </row>
    <row r="80" spans="1:11" x14ac:dyDescent="0.25">
      <c r="A80" t="str">
        <f>PROPER(TRIM('raw data'!A80))</f>
        <v>Female</v>
      </c>
      <c r="B80" t="str">
        <f>PROPER(TRIM('raw data'!B80))</f>
        <v>Group D</v>
      </c>
      <c r="C80" s="7" t="str">
        <f>PROPER(TRIM('raw data'!C80))</f>
        <v>Some High School</v>
      </c>
      <c r="D80" s="7" t="str">
        <f>PROPER(TRIM('raw data'!D80))</f>
        <v>Standard</v>
      </c>
      <c r="E80" s="7" t="str">
        <f>PROPER(TRIM('raw data'!E80))</f>
        <v>Completed</v>
      </c>
      <c r="F80" s="8">
        <v>61</v>
      </c>
      <c r="G80" s="8">
        <v>74</v>
      </c>
      <c r="H80" s="8">
        <v>72</v>
      </c>
      <c r="I80">
        <f t="shared" si="3"/>
        <v>207</v>
      </c>
      <c r="J80">
        <f t="shared" si="4"/>
        <v>69</v>
      </c>
      <c r="K80" s="7" t="str">
        <f t="shared" si="5"/>
        <v>pass</v>
      </c>
    </row>
    <row r="81" spans="1:11" x14ac:dyDescent="0.25">
      <c r="A81" t="str">
        <f>PROPER(TRIM('raw data'!A81))</f>
        <v>Female</v>
      </c>
      <c r="B81" t="str">
        <f>PROPER(TRIM('raw data'!B81))</f>
        <v>Group E</v>
      </c>
      <c r="C81" s="7" t="str">
        <f>PROPER(TRIM('raw data'!C81))</f>
        <v>Master'S Degree</v>
      </c>
      <c r="D81" s="7" t="str">
        <f>PROPER(TRIM('raw data'!D81))</f>
        <v>Standard</v>
      </c>
      <c r="E81" s="7" t="str">
        <f>PROPER(TRIM('raw data'!E81))</f>
        <v>None</v>
      </c>
      <c r="F81" s="8">
        <v>62</v>
      </c>
      <c r="G81" s="8">
        <v>68</v>
      </c>
      <c r="H81" s="8">
        <v>68</v>
      </c>
      <c r="I81">
        <f t="shared" si="3"/>
        <v>198</v>
      </c>
      <c r="J81">
        <f t="shared" si="4"/>
        <v>66</v>
      </c>
      <c r="K81" s="7" t="str">
        <f t="shared" si="5"/>
        <v>pass</v>
      </c>
    </row>
    <row r="82" spans="1:11" x14ac:dyDescent="0.25">
      <c r="A82" t="str">
        <f>PROPER(TRIM('raw data'!A82))</f>
        <v>Female</v>
      </c>
      <c r="B82" t="str">
        <f>PROPER(TRIM('raw data'!B82))</f>
        <v>Group B</v>
      </c>
      <c r="C82" s="7" t="str">
        <f>PROPER(TRIM('raw data'!C82))</f>
        <v>Associate'S Degree</v>
      </c>
      <c r="D82" s="7" t="str">
        <f>PROPER(TRIM('raw data'!D82))</f>
        <v>Standard</v>
      </c>
      <c r="E82" s="7" t="str">
        <f>PROPER(TRIM('raw data'!E82))</f>
        <v>None</v>
      </c>
      <c r="F82" s="8">
        <v>47</v>
      </c>
      <c r="G82" s="8">
        <v>49</v>
      </c>
      <c r="H82" s="8">
        <v>50</v>
      </c>
      <c r="I82">
        <f t="shared" si="3"/>
        <v>146</v>
      </c>
      <c r="J82">
        <f t="shared" si="4"/>
        <v>48.666666666666664</v>
      </c>
      <c r="K82" s="7" t="str">
        <f t="shared" si="5"/>
        <v>pass</v>
      </c>
    </row>
    <row r="83" spans="1:11" x14ac:dyDescent="0.25">
      <c r="A83" t="str">
        <f>PROPER(TRIM('raw data'!A83))</f>
        <v>Male</v>
      </c>
      <c r="B83" t="str">
        <f>PROPER(TRIM('raw data'!B83))</f>
        <v>Group B</v>
      </c>
      <c r="C83" s="7" t="str">
        <f>PROPER(TRIM('raw data'!C83))</f>
        <v>High School</v>
      </c>
      <c r="D83" s="7" t="str">
        <f>PROPER(TRIM('raw data'!D83))</f>
        <v>Free/Reduced</v>
      </c>
      <c r="E83" s="7" t="str">
        <f>PROPER(TRIM('raw data'!E83))</f>
        <v>None</v>
      </c>
      <c r="F83" s="8">
        <v>49</v>
      </c>
      <c r="G83" s="8">
        <v>45</v>
      </c>
      <c r="H83" s="8">
        <v>45</v>
      </c>
      <c r="I83">
        <f t="shared" si="3"/>
        <v>139</v>
      </c>
      <c r="J83">
        <f t="shared" si="4"/>
        <v>46.333333333333336</v>
      </c>
      <c r="K83" s="7" t="str">
        <f t="shared" si="5"/>
        <v>pass</v>
      </c>
    </row>
    <row r="84" spans="1:11" x14ac:dyDescent="0.25">
      <c r="A84" t="str">
        <f>PROPER(TRIM('raw data'!A84))</f>
        <v>Male</v>
      </c>
      <c r="B84" t="str">
        <f>PROPER(TRIM('raw data'!B84))</f>
        <v>Group A</v>
      </c>
      <c r="C84" s="7" t="str">
        <f>PROPER(TRIM('raw data'!C84))</f>
        <v>Some College</v>
      </c>
      <c r="D84" s="7" t="str">
        <f>PROPER(TRIM('raw data'!D84))</f>
        <v>Free/Reduced</v>
      </c>
      <c r="E84" s="7" t="str">
        <f>PROPER(TRIM('raw data'!E84))</f>
        <v>Completed</v>
      </c>
      <c r="F84" s="8">
        <v>50</v>
      </c>
      <c r="G84" s="8">
        <v>47</v>
      </c>
      <c r="H84" s="8">
        <v>54</v>
      </c>
      <c r="I84">
        <f t="shared" si="3"/>
        <v>151</v>
      </c>
      <c r="J84">
        <f t="shared" si="4"/>
        <v>50.333333333333336</v>
      </c>
      <c r="K84" s="7" t="str">
        <f t="shared" si="5"/>
        <v>pass</v>
      </c>
    </row>
    <row r="85" spans="1:11" x14ac:dyDescent="0.25">
      <c r="A85" t="str">
        <f>PROPER(TRIM('raw data'!A85))</f>
        <v>Male</v>
      </c>
      <c r="B85" t="str">
        <f>PROPER(TRIM('raw data'!B85))</f>
        <v>Group E</v>
      </c>
      <c r="C85" s="7" t="str">
        <f>PROPER(TRIM('raw data'!C85))</f>
        <v>Associate'S Degree</v>
      </c>
      <c r="D85" s="7" t="str">
        <f>PROPER(TRIM('raw data'!D85))</f>
        <v>Standard</v>
      </c>
      <c r="E85" s="7" t="str">
        <f>PROPER(TRIM('raw data'!E85))</f>
        <v>None</v>
      </c>
      <c r="F85" s="8">
        <v>72</v>
      </c>
      <c r="G85" s="8">
        <v>64</v>
      </c>
      <c r="H85" s="8">
        <v>63</v>
      </c>
      <c r="I85">
        <f t="shared" si="3"/>
        <v>199</v>
      </c>
      <c r="J85">
        <f t="shared" si="4"/>
        <v>66.333333333333329</v>
      </c>
      <c r="K85" s="7" t="str">
        <f t="shared" si="5"/>
        <v>pass</v>
      </c>
    </row>
    <row r="86" spans="1:11" x14ac:dyDescent="0.25">
      <c r="A86" t="str">
        <f>PROPER(TRIM('raw data'!A86))</f>
        <v>Male</v>
      </c>
      <c r="B86" t="str">
        <f>PROPER(TRIM('raw data'!B86))</f>
        <v>Group D</v>
      </c>
      <c r="C86" s="7" t="str">
        <f>PROPER(TRIM('raw data'!C86))</f>
        <v>High School</v>
      </c>
      <c r="D86" s="7" t="str">
        <f>PROPER(TRIM('raw data'!D86))</f>
        <v>Free/Reduced</v>
      </c>
      <c r="E86" s="7" t="str">
        <f>PROPER(TRIM('raw data'!E86))</f>
        <v>None</v>
      </c>
      <c r="F86" s="8">
        <v>42</v>
      </c>
      <c r="G86" s="8">
        <v>39</v>
      </c>
      <c r="H86" s="8">
        <v>34</v>
      </c>
      <c r="I86">
        <f t="shared" si="3"/>
        <v>115</v>
      </c>
      <c r="J86">
        <f t="shared" si="4"/>
        <v>38.333333333333336</v>
      </c>
      <c r="K86" s="7" t="str">
        <f t="shared" si="5"/>
        <v>fail</v>
      </c>
    </row>
    <row r="87" spans="1:11" x14ac:dyDescent="0.25">
      <c r="A87" t="str">
        <f>PROPER(TRIM('raw data'!A87))</f>
        <v>Female</v>
      </c>
      <c r="B87" t="str">
        <f>PROPER(TRIM('raw data'!B87))</f>
        <v>Group C</v>
      </c>
      <c r="C87" s="7" t="str">
        <f>PROPER(TRIM('raw data'!C87))</f>
        <v>Some College</v>
      </c>
      <c r="D87" s="7" t="str">
        <f>PROPER(TRIM('raw data'!D87))</f>
        <v>Standard</v>
      </c>
      <c r="E87" s="7" t="str">
        <f>PROPER(TRIM('raw data'!E87))</f>
        <v>None</v>
      </c>
      <c r="F87" s="8">
        <v>73</v>
      </c>
      <c r="G87" s="8">
        <v>80</v>
      </c>
      <c r="H87" s="8">
        <v>82</v>
      </c>
      <c r="I87">
        <f t="shared" si="3"/>
        <v>235</v>
      </c>
      <c r="J87">
        <f t="shared" si="4"/>
        <v>78.333333333333329</v>
      </c>
      <c r="K87" s="7" t="str">
        <f t="shared" si="5"/>
        <v>pass</v>
      </c>
    </row>
    <row r="88" spans="1:11" x14ac:dyDescent="0.25">
      <c r="A88" t="str">
        <f>PROPER(TRIM('raw data'!A88))</f>
        <v>Female</v>
      </c>
      <c r="B88" t="str">
        <f>PROPER(TRIM('raw data'!B88))</f>
        <v>Group C</v>
      </c>
      <c r="C88" s="7" t="str">
        <f>PROPER(TRIM('raw data'!C88))</f>
        <v>Some College</v>
      </c>
      <c r="D88" s="7" t="str">
        <f>PROPER(TRIM('raw data'!D88))</f>
        <v>Free/Reduced</v>
      </c>
      <c r="E88" s="7" t="str">
        <f>PROPER(TRIM('raw data'!E88))</f>
        <v>None</v>
      </c>
      <c r="F88" s="8">
        <v>76</v>
      </c>
      <c r="G88" s="8">
        <v>83</v>
      </c>
      <c r="H88" s="8">
        <v>88</v>
      </c>
      <c r="I88">
        <f t="shared" si="3"/>
        <v>247</v>
      </c>
      <c r="J88">
        <f t="shared" si="4"/>
        <v>82.333333333333329</v>
      </c>
      <c r="K88" s="7" t="str">
        <f t="shared" si="5"/>
        <v>pass</v>
      </c>
    </row>
    <row r="89" spans="1:11" x14ac:dyDescent="0.25">
      <c r="A89" t="str">
        <f>PROPER(TRIM('raw data'!A89))</f>
        <v>Female</v>
      </c>
      <c r="B89" t="str">
        <f>PROPER(TRIM('raw data'!B89))</f>
        <v>Group D</v>
      </c>
      <c r="C89" s="7" t="str">
        <f>PROPER(TRIM('raw data'!C89))</f>
        <v>Associate'S Degree</v>
      </c>
      <c r="D89" s="7" t="str">
        <f>PROPER(TRIM('raw data'!D89))</f>
        <v>Standard</v>
      </c>
      <c r="E89" s="7" t="str">
        <f>PROPER(TRIM('raw data'!E89))</f>
        <v>None</v>
      </c>
      <c r="F89" s="8">
        <v>71</v>
      </c>
      <c r="G89" s="8">
        <v>71</v>
      </c>
      <c r="H89" s="8">
        <v>74</v>
      </c>
      <c r="I89">
        <f t="shared" si="3"/>
        <v>216</v>
      </c>
      <c r="J89">
        <f t="shared" si="4"/>
        <v>72</v>
      </c>
      <c r="K89" s="7" t="str">
        <f t="shared" si="5"/>
        <v>pass</v>
      </c>
    </row>
    <row r="90" spans="1:11" x14ac:dyDescent="0.25">
      <c r="A90" t="str">
        <f>PROPER(TRIM('raw data'!A90))</f>
        <v>Female</v>
      </c>
      <c r="B90" t="str">
        <f>PROPER(TRIM('raw data'!B90))</f>
        <v>Group A</v>
      </c>
      <c r="C90" s="7" t="str">
        <f>PROPER(TRIM('raw data'!C90))</f>
        <v>Some College</v>
      </c>
      <c r="D90" s="7" t="str">
        <f>PROPER(TRIM('raw data'!D90))</f>
        <v>Standard</v>
      </c>
      <c r="E90" s="7" t="str">
        <f>PROPER(TRIM('raw data'!E90))</f>
        <v>None</v>
      </c>
      <c r="F90" s="8">
        <v>58</v>
      </c>
      <c r="G90" s="8">
        <v>70</v>
      </c>
      <c r="H90" s="8">
        <v>67</v>
      </c>
      <c r="I90">
        <f t="shared" si="3"/>
        <v>195</v>
      </c>
      <c r="J90">
        <f t="shared" si="4"/>
        <v>65</v>
      </c>
      <c r="K90" s="7" t="str">
        <f t="shared" si="5"/>
        <v>pass</v>
      </c>
    </row>
    <row r="91" spans="1:11" x14ac:dyDescent="0.25">
      <c r="A91" t="str">
        <f>PROPER(TRIM('raw data'!A91))</f>
        <v>Female</v>
      </c>
      <c r="B91" t="str">
        <f>PROPER(TRIM('raw data'!B91))</f>
        <v>Group D</v>
      </c>
      <c r="C91" s="7" t="str">
        <f>PROPER(TRIM('raw data'!C91))</f>
        <v>Some High School</v>
      </c>
      <c r="D91" s="7" t="str">
        <f>PROPER(TRIM('raw data'!D91))</f>
        <v>Standard</v>
      </c>
      <c r="E91" s="7" t="str">
        <f>PROPER(TRIM('raw data'!E91))</f>
        <v>None</v>
      </c>
      <c r="F91" s="8">
        <v>73</v>
      </c>
      <c r="G91" s="8">
        <v>86</v>
      </c>
      <c r="H91" s="8">
        <v>82</v>
      </c>
      <c r="I91">
        <f t="shared" si="3"/>
        <v>241</v>
      </c>
      <c r="J91">
        <f t="shared" si="4"/>
        <v>80.333333333333329</v>
      </c>
      <c r="K91" s="7" t="str">
        <f t="shared" si="5"/>
        <v>pass</v>
      </c>
    </row>
    <row r="92" spans="1:11" x14ac:dyDescent="0.25">
      <c r="A92" t="str">
        <f>PROPER(TRIM('raw data'!A92))</f>
        <v>Female</v>
      </c>
      <c r="B92" t="str">
        <f>PROPER(TRIM('raw data'!B92))</f>
        <v>Group C</v>
      </c>
      <c r="C92" s="7" t="str">
        <f>PROPER(TRIM('raw data'!C92))</f>
        <v>Bachelor'S Degree</v>
      </c>
      <c r="D92" s="7" t="str">
        <f>PROPER(TRIM('raw data'!D92))</f>
        <v>Standard</v>
      </c>
      <c r="E92" s="7" t="str">
        <f>PROPER(TRIM('raw data'!E92))</f>
        <v>None</v>
      </c>
      <c r="F92" s="8">
        <v>65</v>
      </c>
      <c r="G92" s="8">
        <v>72</v>
      </c>
      <c r="H92" s="8">
        <v>74</v>
      </c>
      <c r="I92">
        <f t="shared" si="3"/>
        <v>211</v>
      </c>
      <c r="J92">
        <f t="shared" si="4"/>
        <v>70.333333333333329</v>
      </c>
      <c r="K92" s="7" t="str">
        <f t="shared" si="5"/>
        <v>pass</v>
      </c>
    </row>
    <row r="93" spans="1:11" x14ac:dyDescent="0.25">
      <c r="A93" t="str">
        <f>PROPER(TRIM('raw data'!A93))</f>
        <v>Male</v>
      </c>
      <c r="B93" t="str">
        <f>PROPER(TRIM('raw data'!B93))</f>
        <v>Group C</v>
      </c>
      <c r="C93" s="7" t="str">
        <f>PROPER(TRIM('raw data'!C93))</f>
        <v>High School</v>
      </c>
      <c r="D93" s="7" t="str">
        <f>PROPER(TRIM('raw data'!D93))</f>
        <v>Free/Reduced</v>
      </c>
      <c r="E93" s="7" t="str">
        <f>PROPER(TRIM('raw data'!E93))</f>
        <v>None</v>
      </c>
      <c r="F93" s="8">
        <v>27</v>
      </c>
      <c r="G93" s="8">
        <v>34</v>
      </c>
      <c r="H93" s="8">
        <v>36</v>
      </c>
      <c r="I93">
        <f t="shared" si="3"/>
        <v>97</v>
      </c>
      <c r="J93">
        <f t="shared" si="4"/>
        <v>32.333333333333336</v>
      </c>
      <c r="K93" s="7" t="str">
        <f t="shared" si="5"/>
        <v>fail</v>
      </c>
    </row>
    <row r="94" spans="1:11" x14ac:dyDescent="0.25">
      <c r="A94" t="str">
        <f>PROPER(TRIM('raw data'!A94))</f>
        <v>Male</v>
      </c>
      <c r="B94" t="str">
        <f>PROPER(TRIM('raw data'!B94))</f>
        <v>Group C</v>
      </c>
      <c r="C94" s="7" t="str">
        <f>PROPER(TRIM('raw data'!C94))</f>
        <v>High School</v>
      </c>
      <c r="D94" s="7" t="str">
        <f>PROPER(TRIM('raw data'!D94))</f>
        <v>Standard</v>
      </c>
      <c r="E94" s="7" t="str">
        <f>PROPER(TRIM('raw data'!E94))</f>
        <v>None</v>
      </c>
      <c r="F94" s="8">
        <v>71</v>
      </c>
      <c r="G94" s="8">
        <v>79</v>
      </c>
      <c r="H94" s="8">
        <v>71</v>
      </c>
      <c r="I94">
        <f t="shared" si="3"/>
        <v>221</v>
      </c>
      <c r="J94">
        <f t="shared" si="4"/>
        <v>73.666666666666671</v>
      </c>
      <c r="K94" s="7" t="str">
        <f t="shared" si="5"/>
        <v>pass</v>
      </c>
    </row>
    <row r="95" spans="1:11" x14ac:dyDescent="0.25">
      <c r="A95" t="str">
        <f>PROPER(TRIM('raw data'!A95))</f>
        <v>Male</v>
      </c>
      <c r="B95" t="str">
        <f>PROPER(TRIM('raw data'!B95))</f>
        <v>Group C</v>
      </c>
      <c r="C95" s="7" t="str">
        <f>PROPER(TRIM('raw data'!C95))</f>
        <v>Associate'S Degree</v>
      </c>
      <c r="D95" s="7" t="str">
        <f>PROPER(TRIM('raw data'!D95))</f>
        <v>Free/Reduced</v>
      </c>
      <c r="E95" s="7" t="str">
        <f>PROPER(TRIM('raw data'!E95))</f>
        <v>Completed</v>
      </c>
      <c r="F95" s="8">
        <v>43</v>
      </c>
      <c r="G95" s="8">
        <v>45</v>
      </c>
      <c r="H95" s="8">
        <v>50</v>
      </c>
      <c r="I95">
        <f t="shared" si="3"/>
        <v>138</v>
      </c>
      <c r="J95">
        <f t="shared" si="4"/>
        <v>46</v>
      </c>
      <c r="K95" s="7" t="str">
        <f t="shared" si="5"/>
        <v>pass</v>
      </c>
    </row>
    <row r="96" spans="1:11" x14ac:dyDescent="0.25">
      <c r="A96" t="str">
        <f>PROPER(TRIM('raw data'!A96))</f>
        <v>Female</v>
      </c>
      <c r="B96" t="str">
        <f>PROPER(TRIM('raw data'!B96))</f>
        <v>Group B</v>
      </c>
      <c r="C96" s="7" t="str">
        <f>PROPER(TRIM('raw data'!C96))</f>
        <v>Some College</v>
      </c>
      <c r="D96" s="7" t="str">
        <f>PROPER(TRIM('raw data'!D96))</f>
        <v>Standard</v>
      </c>
      <c r="E96" s="7" t="str">
        <f>PROPER(TRIM('raw data'!E96))</f>
        <v>None</v>
      </c>
      <c r="F96" s="8">
        <v>79</v>
      </c>
      <c r="G96" s="8">
        <v>86</v>
      </c>
      <c r="H96" s="8">
        <v>92</v>
      </c>
      <c r="I96">
        <f t="shared" si="3"/>
        <v>257</v>
      </c>
      <c r="J96">
        <f t="shared" si="4"/>
        <v>85.666666666666671</v>
      </c>
      <c r="K96" s="7" t="str">
        <f t="shared" si="5"/>
        <v>pass</v>
      </c>
    </row>
    <row r="97" spans="1:11" x14ac:dyDescent="0.25">
      <c r="A97" t="str">
        <f>PROPER(TRIM('raw data'!A97))</f>
        <v>Male</v>
      </c>
      <c r="B97" t="str">
        <f>PROPER(TRIM('raw data'!B97))</f>
        <v>Group C</v>
      </c>
      <c r="C97" s="7" t="str">
        <f>PROPER(TRIM('raw data'!C97))</f>
        <v>Associate'S Degree</v>
      </c>
      <c r="D97" s="7" t="str">
        <f>PROPER(TRIM('raw data'!D97))</f>
        <v>Free/Reduced</v>
      </c>
      <c r="E97" s="7" t="str">
        <f>PROPER(TRIM('raw data'!E97))</f>
        <v>Completed</v>
      </c>
      <c r="F97" s="8">
        <v>78</v>
      </c>
      <c r="G97" s="8">
        <v>81</v>
      </c>
      <c r="H97" s="8">
        <v>82</v>
      </c>
      <c r="I97">
        <f t="shared" si="3"/>
        <v>241</v>
      </c>
      <c r="J97">
        <f t="shared" si="4"/>
        <v>80.333333333333329</v>
      </c>
      <c r="K97" s="7" t="str">
        <f t="shared" si="5"/>
        <v>pass</v>
      </c>
    </row>
    <row r="98" spans="1:11" x14ac:dyDescent="0.25">
      <c r="A98" t="str">
        <f>PROPER(TRIM('raw data'!A98))</f>
        <v>Male</v>
      </c>
      <c r="B98" t="str">
        <f>PROPER(TRIM('raw data'!B98))</f>
        <v>Group B</v>
      </c>
      <c r="C98" s="7" t="str">
        <f>PROPER(TRIM('raw data'!C98))</f>
        <v>Some High School</v>
      </c>
      <c r="D98" s="7" t="str">
        <f>PROPER(TRIM('raw data'!D98))</f>
        <v>Standard</v>
      </c>
      <c r="E98" s="7" t="str">
        <f>PROPER(TRIM('raw data'!E98))</f>
        <v>Completed</v>
      </c>
      <c r="F98" s="8">
        <v>65</v>
      </c>
      <c r="G98" s="8">
        <v>66</v>
      </c>
      <c r="H98" s="8">
        <v>62</v>
      </c>
      <c r="I98">
        <f t="shared" si="3"/>
        <v>193</v>
      </c>
      <c r="J98">
        <f t="shared" si="4"/>
        <v>64.333333333333329</v>
      </c>
      <c r="K98" s="7" t="str">
        <f t="shared" si="5"/>
        <v>pass</v>
      </c>
    </row>
    <row r="99" spans="1:11" x14ac:dyDescent="0.25">
      <c r="A99" t="str">
        <f>PROPER(TRIM('raw data'!A99))</f>
        <v>Female</v>
      </c>
      <c r="B99" t="str">
        <f>PROPER(TRIM('raw data'!B99))</f>
        <v>Group E</v>
      </c>
      <c r="C99" s="7" t="str">
        <f>PROPER(TRIM('raw data'!C99))</f>
        <v>Some College</v>
      </c>
      <c r="D99" s="7" t="str">
        <f>PROPER(TRIM('raw data'!D99))</f>
        <v>Standard</v>
      </c>
      <c r="E99" s="7" t="str">
        <f>PROPER(TRIM('raw data'!E99))</f>
        <v>Completed</v>
      </c>
      <c r="F99" s="8">
        <v>63</v>
      </c>
      <c r="G99" s="8">
        <v>72</v>
      </c>
      <c r="H99" s="8">
        <v>70</v>
      </c>
      <c r="I99">
        <f t="shared" si="3"/>
        <v>205</v>
      </c>
      <c r="J99">
        <f t="shared" si="4"/>
        <v>68.333333333333329</v>
      </c>
      <c r="K99" s="7" t="str">
        <f t="shared" si="5"/>
        <v>pass</v>
      </c>
    </row>
    <row r="100" spans="1:11" x14ac:dyDescent="0.25">
      <c r="A100" t="str">
        <f>PROPER(TRIM('raw data'!A100))</f>
        <v>Female</v>
      </c>
      <c r="B100" t="str">
        <f>PROPER(TRIM('raw data'!B100))</f>
        <v>Group D</v>
      </c>
      <c r="C100" s="7" t="str">
        <f>PROPER(TRIM('raw data'!C100))</f>
        <v>Some College</v>
      </c>
      <c r="D100" s="7" t="str">
        <f>PROPER(TRIM('raw data'!D100))</f>
        <v>Free/Reduced</v>
      </c>
      <c r="E100" s="7" t="str">
        <f>PROPER(TRIM('raw data'!E100))</f>
        <v>None</v>
      </c>
      <c r="F100" s="8">
        <v>58</v>
      </c>
      <c r="G100" s="8">
        <v>67</v>
      </c>
      <c r="H100" s="8">
        <v>62</v>
      </c>
      <c r="I100">
        <f t="shared" si="3"/>
        <v>187</v>
      </c>
      <c r="J100">
        <f t="shared" si="4"/>
        <v>62.333333333333336</v>
      </c>
      <c r="K100" s="7" t="str">
        <f t="shared" si="5"/>
        <v>pass</v>
      </c>
    </row>
    <row r="101" spans="1:11" x14ac:dyDescent="0.25">
      <c r="A101" t="str">
        <f>PROPER(TRIM('raw data'!A101))</f>
        <v>Female</v>
      </c>
      <c r="B101" t="str">
        <f>PROPER(TRIM('raw data'!B101))</f>
        <v>Group D</v>
      </c>
      <c r="C101" s="7" t="str">
        <f>PROPER(TRIM('raw data'!C101))</f>
        <v>Bachelor'S Degree</v>
      </c>
      <c r="D101" s="7" t="str">
        <f>PROPER(TRIM('raw data'!D101))</f>
        <v>Standard</v>
      </c>
      <c r="E101" s="7" t="str">
        <f>PROPER(TRIM('raw data'!E101))</f>
        <v>None</v>
      </c>
      <c r="F101" s="8">
        <v>65</v>
      </c>
      <c r="G101" s="8">
        <v>67</v>
      </c>
      <c r="H101" s="8">
        <v>62</v>
      </c>
      <c r="I101">
        <f t="shared" si="3"/>
        <v>194</v>
      </c>
      <c r="J101">
        <f t="shared" si="4"/>
        <v>64.666666666666671</v>
      </c>
      <c r="K101" s="7" t="str">
        <f t="shared" si="5"/>
        <v>pass</v>
      </c>
    </row>
    <row r="102" spans="1:11" x14ac:dyDescent="0.25">
      <c r="A102" t="str">
        <f>PROPER(TRIM('raw data'!A102))</f>
        <v>Male</v>
      </c>
      <c r="B102" t="str">
        <f>PROPER(TRIM('raw data'!B102))</f>
        <v>Group B</v>
      </c>
      <c r="C102" s="7" t="str">
        <f>PROPER(TRIM('raw data'!C102))</f>
        <v>Some College</v>
      </c>
      <c r="D102" s="7" t="str">
        <f>PROPER(TRIM('raw data'!D102))</f>
        <v>Standard</v>
      </c>
      <c r="E102" s="7" t="str">
        <f>PROPER(TRIM('raw data'!E102))</f>
        <v>None</v>
      </c>
      <c r="F102" s="8">
        <v>79</v>
      </c>
      <c r="G102" s="8">
        <v>67</v>
      </c>
      <c r="H102" s="8">
        <v>67</v>
      </c>
      <c r="I102">
        <f t="shared" si="3"/>
        <v>213</v>
      </c>
      <c r="J102">
        <f t="shared" si="4"/>
        <v>71</v>
      </c>
      <c r="K102" s="7" t="str">
        <f t="shared" si="5"/>
        <v>pass</v>
      </c>
    </row>
    <row r="103" spans="1:11" x14ac:dyDescent="0.25">
      <c r="A103" t="str">
        <f>PROPER(TRIM('raw data'!A103))</f>
        <v>Male</v>
      </c>
      <c r="B103" t="str">
        <f>PROPER(TRIM('raw data'!B103))</f>
        <v>Group D</v>
      </c>
      <c r="C103" s="7" t="str">
        <f>PROPER(TRIM('raw data'!C103))</f>
        <v>Bachelor'S Degree</v>
      </c>
      <c r="D103" s="7" t="str">
        <f>PROPER(TRIM('raw data'!D103))</f>
        <v>Standard</v>
      </c>
      <c r="E103" s="7" t="str">
        <f>PROPER(TRIM('raw data'!E103))</f>
        <v>Completed</v>
      </c>
      <c r="F103" s="8">
        <v>68</v>
      </c>
      <c r="G103" s="8">
        <v>74</v>
      </c>
      <c r="H103" s="8">
        <v>74</v>
      </c>
      <c r="I103">
        <f t="shared" si="3"/>
        <v>216</v>
      </c>
      <c r="J103">
        <f t="shared" si="4"/>
        <v>72</v>
      </c>
      <c r="K103" s="7" t="str">
        <f t="shared" si="5"/>
        <v>pass</v>
      </c>
    </row>
    <row r="104" spans="1:11" x14ac:dyDescent="0.25">
      <c r="A104" t="str">
        <f>PROPER(TRIM('raw data'!A104))</f>
        <v>Female</v>
      </c>
      <c r="B104" t="str">
        <f>PROPER(TRIM('raw data'!B104))</f>
        <v>Group D</v>
      </c>
      <c r="C104" s="7" t="str">
        <f>PROPER(TRIM('raw data'!C104))</f>
        <v>Associate'S Degree</v>
      </c>
      <c r="D104" s="7" t="str">
        <f>PROPER(TRIM('raw data'!D104))</f>
        <v>Standard</v>
      </c>
      <c r="E104" s="7" t="str">
        <f>PROPER(TRIM('raw data'!E104))</f>
        <v>None</v>
      </c>
      <c r="F104" s="8">
        <v>85</v>
      </c>
      <c r="G104" s="8">
        <v>91</v>
      </c>
      <c r="H104" s="8">
        <v>89</v>
      </c>
      <c r="I104">
        <f t="shared" si="3"/>
        <v>265</v>
      </c>
      <c r="J104">
        <f t="shared" si="4"/>
        <v>88.333333333333329</v>
      </c>
      <c r="K104" s="7" t="str">
        <f t="shared" si="5"/>
        <v>pass</v>
      </c>
    </row>
    <row r="105" spans="1:11" x14ac:dyDescent="0.25">
      <c r="A105" t="str">
        <f>PROPER(TRIM('raw data'!A105))</f>
        <v>Male</v>
      </c>
      <c r="B105" t="str">
        <f>PROPER(TRIM('raw data'!B105))</f>
        <v>Group B</v>
      </c>
      <c r="C105" s="7" t="str">
        <f>PROPER(TRIM('raw data'!C105))</f>
        <v>High School</v>
      </c>
      <c r="D105" s="7" t="str">
        <f>PROPER(TRIM('raw data'!D105))</f>
        <v>Standard</v>
      </c>
      <c r="E105" s="7" t="str">
        <f>PROPER(TRIM('raw data'!E105))</f>
        <v>Completed</v>
      </c>
      <c r="F105" s="8">
        <v>60</v>
      </c>
      <c r="G105" s="8">
        <v>44</v>
      </c>
      <c r="H105" s="8">
        <v>47</v>
      </c>
      <c r="I105">
        <f t="shared" si="3"/>
        <v>151</v>
      </c>
      <c r="J105">
        <f t="shared" si="4"/>
        <v>50.333333333333336</v>
      </c>
      <c r="K105" s="7" t="str">
        <f t="shared" si="5"/>
        <v>pass</v>
      </c>
    </row>
    <row r="106" spans="1:11" x14ac:dyDescent="0.25">
      <c r="A106" t="str">
        <f>PROPER(TRIM('raw data'!A106))</f>
        <v>Male</v>
      </c>
      <c r="B106" t="str">
        <f>PROPER(TRIM('raw data'!B106))</f>
        <v>Group C</v>
      </c>
      <c r="C106" s="7" t="str">
        <f>PROPER(TRIM('raw data'!C106))</f>
        <v>Some College</v>
      </c>
      <c r="D106" s="7" t="str">
        <f>PROPER(TRIM('raw data'!D106))</f>
        <v>Standard</v>
      </c>
      <c r="E106" s="7" t="str">
        <f>PROPER(TRIM('raw data'!E106))</f>
        <v>Completed</v>
      </c>
      <c r="F106" s="8">
        <v>98</v>
      </c>
      <c r="G106" s="8">
        <v>86</v>
      </c>
      <c r="H106" s="8">
        <v>90</v>
      </c>
      <c r="I106">
        <f t="shared" si="3"/>
        <v>274</v>
      </c>
      <c r="J106">
        <f t="shared" si="4"/>
        <v>91.333333333333329</v>
      </c>
      <c r="K106" s="7" t="str">
        <f t="shared" si="5"/>
        <v>pass</v>
      </c>
    </row>
    <row r="107" spans="1:11" x14ac:dyDescent="0.25">
      <c r="A107" t="str">
        <f>PROPER(TRIM('raw data'!A107))</f>
        <v>Female</v>
      </c>
      <c r="B107" t="str">
        <f>PROPER(TRIM('raw data'!B107))</f>
        <v>Group C</v>
      </c>
      <c r="C107" s="7" t="str">
        <f>PROPER(TRIM('raw data'!C107))</f>
        <v>Some College</v>
      </c>
      <c r="D107" s="7" t="str">
        <f>PROPER(TRIM('raw data'!D107))</f>
        <v>Standard</v>
      </c>
      <c r="E107" s="7" t="str">
        <f>PROPER(TRIM('raw data'!E107))</f>
        <v>None</v>
      </c>
      <c r="F107" s="8">
        <v>58</v>
      </c>
      <c r="G107" s="8">
        <v>67</v>
      </c>
      <c r="H107" s="8">
        <v>72</v>
      </c>
      <c r="I107">
        <f t="shared" si="3"/>
        <v>197</v>
      </c>
      <c r="J107">
        <f t="shared" si="4"/>
        <v>65.666666666666671</v>
      </c>
      <c r="K107" s="7" t="str">
        <f t="shared" si="5"/>
        <v>pass</v>
      </c>
    </row>
    <row r="108" spans="1:11" x14ac:dyDescent="0.25">
      <c r="A108" t="str">
        <f>PROPER(TRIM('raw data'!A108))</f>
        <v>Female</v>
      </c>
      <c r="B108" t="str">
        <f>PROPER(TRIM('raw data'!B108))</f>
        <v>Group D</v>
      </c>
      <c r="C108" s="7" t="str">
        <f>PROPER(TRIM('raw data'!C108))</f>
        <v>Master'S Degree</v>
      </c>
      <c r="D108" s="7" t="str">
        <f>PROPER(TRIM('raw data'!D108))</f>
        <v>Standard</v>
      </c>
      <c r="E108" s="7" t="str">
        <f>PROPER(TRIM('raw data'!E108))</f>
        <v>None</v>
      </c>
      <c r="F108" s="8">
        <v>87</v>
      </c>
      <c r="G108" s="8">
        <v>100</v>
      </c>
      <c r="H108" s="8">
        <v>100</v>
      </c>
      <c r="I108">
        <f t="shared" si="3"/>
        <v>287</v>
      </c>
      <c r="J108">
        <f t="shared" si="4"/>
        <v>95.666666666666671</v>
      </c>
      <c r="K108" s="7" t="str">
        <f t="shared" si="5"/>
        <v>pass</v>
      </c>
    </row>
    <row r="109" spans="1:11" x14ac:dyDescent="0.25">
      <c r="A109" t="str">
        <f>PROPER(TRIM('raw data'!A109))</f>
        <v>Male</v>
      </c>
      <c r="B109" t="str">
        <f>PROPER(TRIM('raw data'!B109))</f>
        <v>Group E</v>
      </c>
      <c r="C109" s="7" t="str">
        <f>PROPER(TRIM('raw data'!C109))</f>
        <v>Associate'S Degree</v>
      </c>
      <c r="D109" s="7" t="str">
        <f>PROPER(TRIM('raw data'!D109))</f>
        <v>Standard</v>
      </c>
      <c r="E109" s="7" t="str">
        <f>PROPER(TRIM('raw data'!E109))</f>
        <v>Completed</v>
      </c>
      <c r="F109" s="8">
        <v>66</v>
      </c>
      <c r="G109" s="8">
        <v>63</v>
      </c>
      <c r="H109" s="8">
        <v>64</v>
      </c>
      <c r="I109">
        <f t="shared" si="3"/>
        <v>193</v>
      </c>
      <c r="J109">
        <f t="shared" si="4"/>
        <v>64.333333333333329</v>
      </c>
      <c r="K109" s="7" t="str">
        <f t="shared" si="5"/>
        <v>pass</v>
      </c>
    </row>
    <row r="110" spans="1:11" x14ac:dyDescent="0.25">
      <c r="A110" t="str">
        <f>PROPER(TRIM('raw data'!A110))</f>
        <v>Female</v>
      </c>
      <c r="B110" t="str">
        <f>PROPER(TRIM('raw data'!B110))</f>
        <v>Group B</v>
      </c>
      <c r="C110" s="7" t="str">
        <f>PROPER(TRIM('raw data'!C110))</f>
        <v>Associate'S Degree</v>
      </c>
      <c r="D110" s="7" t="str">
        <f>PROPER(TRIM('raw data'!D110))</f>
        <v>Free/Reduced</v>
      </c>
      <c r="E110" s="7" t="str">
        <f>PROPER(TRIM('raw data'!E110))</f>
        <v>None</v>
      </c>
      <c r="F110" s="8">
        <v>52</v>
      </c>
      <c r="G110" s="8">
        <v>76</v>
      </c>
      <c r="H110" s="8">
        <v>70</v>
      </c>
      <c r="I110">
        <f t="shared" si="3"/>
        <v>198</v>
      </c>
      <c r="J110">
        <f t="shared" si="4"/>
        <v>66</v>
      </c>
      <c r="K110" s="7" t="str">
        <f t="shared" si="5"/>
        <v>pass</v>
      </c>
    </row>
    <row r="111" spans="1:11" x14ac:dyDescent="0.25">
      <c r="A111" t="str">
        <f>PROPER(TRIM('raw data'!A111))</f>
        <v>Female</v>
      </c>
      <c r="B111" t="str">
        <f>PROPER(TRIM('raw data'!B111))</f>
        <v>Group B</v>
      </c>
      <c r="C111" s="7" t="str">
        <f>PROPER(TRIM('raw data'!C111))</f>
        <v>Some High School</v>
      </c>
      <c r="D111" s="7" t="str">
        <f>PROPER(TRIM('raw data'!D111))</f>
        <v>Standard</v>
      </c>
      <c r="E111" s="7" t="str">
        <f>PROPER(TRIM('raw data'!E111))</f>
        <v>None</v>
      </c>
      <c r="F111" s="8">
        <v>70</v>
      </c>
      <c r="G111" s="8">
        <v>64</v>
      </c>
      <c r="H111" s="8">
        <v>72</v>
      </c>
      <c r="I111">
        <f t="shared" si="3"/>
        <v>206</v>
      </c>
      <c r="J111">
        <f t="shared" si="4"/>
        <v>68.666666666666671</v>
      </c>
      <c r="K111" s="7" t="str">
        <f t="shared" si="5"/>
        <v>pass</v>
      </c>
    </row>
    <row r="112" spans="1:11" x14ac:dyDescent="0.25">
      <c r="A112" t="str">
        <f>PROPER(TRIM('raw data'!A112))</f>
        <v>Female</v>
      </c>
      <c r="B112" t="str">
        <f>PROPER(TRIM('raw data'!B112))</f>
        <v>Group D</v>
      </c>
      <c r="C112" s="7" t="str">
        <f>PROPER(TRIM('raw data'!C112))</f>
        <v>Associate'S Degree</v>
      </c>
      <c r="D112" s="7" t="str">
        <f>PROPER(TRIM('raw data'!D112))</f>
        <v>Free/Reduced</v>
      </c>
      <c r="E112" s="7" t="str">
        <f>PROPER(TRIM('raw data'!E112))</f>
        <v>Completed</v>
      </c>
      <c r="F112" s="8">
        <v>77</v>
      </c>
      <c r="G112" s="8">
        <v>89</v>
      </c>
      <c r="H112" s="8">
        <v>98</v>
      </c>
      <c r="I112">
        <f t="shared" si="3"/>
        <v>264</v>
      </c>
      <c r="J112">
        <f t="shared" si="4"/>
        <v>88</v>
      </c>
      <c r="K112" s="7" t="str">
        <f t="shared" si="5"/>
        <v>pass</v>
      </c>
    </row>
    <row r="113" spans="1:11" x14ac:dyDescent="0.25">
      <c r="A113" t="str">
        <f>PROPER(TRIM('raw data'!A113))</f>
        <v>Male</v>
      </c>
      <c r="B113" t="str">
        <f>PROPER(TRIM('raw data'!B113))</f>
        <v>Group C</v>
      </c>
      <c r="C113" s="7" t="str">
        <f>PROPER(TRIM('raw data'!C113))</f>
        <v>High School</v>
      </c>
      <c r="D113" s="7" t="str">
        <f>PROPER(TRIM('raw data'!D113))</f>
        <v>Standard</v>
      </c>
      <c r="E113" s="7" t="str">
        <f>PROPER(TRIM('raw data'!E113))</f>
        <v>None</v>
      </c>
      <c r="F113" s="8">
        <v>62</v>
      </c>
      <c r="G113" s="8">
        <v>55</v>
      </c>
      <c r="H113" s="8">
        <v>49</v>
      </c>
      <c r="I113">
        <f t="shared" si="3"/>
        <v>166</v>
      </c>
      <c r="J113">
        <f t="shared" si="4"/>
        <v>55.333333333333336</v>
      </c>
      <c r="K113" s="7" t="str">
        <f t="shared" si="5"/>
        <v>pass</v>
      </c>
    </row>
    <row r="114" spans="1:11" x14ac:dyDescent="0.25">
      <c r="A114" t="str">
        <f>PROPER(TRIM('raw data'!A114))</f>
        <v>Male</v>
      </c>
      <c r="B114" t="str">
        <f>PROPER(TRIM('raw data'!B114))</f>
        <v>Group A</v>
      </c>
      <c r="C114" s="7" t="str">
        <f>PROPER(TRIM('raw data'!C114))</f>
        <v>Associate'S Degree</v>
      </c>
      <c r="D114" s="7" t="str">
        <f>PROPER(TRIM('raw data'!D114))</f>
        <v>Standard</v>
      </c>
      <c r="E114" s="7" t="str">
        <f>PROPER(TRIM('raw data'!E114))</f>
        <v>None</v>
      </c>
      <c r="F114" s="8">
        <v>54</v>
      </c>
      <c r="G114" s="8">
        <v>53</v>
      </c>
      <c r="H114" s="8">
        <v>47</v>
      </c>
      <c r="I114">
        <f t="shared" si="3"/>
        <v>154</v>
      </c>
      <c r="J114">
        <f t="shared" si="4"/>
        <v>51.333333333333336</v>
      </c>
      <c r="K114" s="7" t="str">
        <f t="shared" si="5"/>
        <v>pass</v>
      </c>
    </row>
    <row r="115" spans="1:11" x14ac:dyDescent="0.25">
      <c r="A115" t="str">
        <f>PROPER(TRIM('raw data'!A115))</f>
        <v>Female</v>
      </c>
      <c r="B115" t="str">
        <f>PROPER(TRIM('raw data'!B115))</f>
        <v>Group D</v>
      </c>
      <c r="C115" s="7" t="str">
        <f>PROPER(TRIM('raw data'!C115))</f>
        <v>Some College</v>
      </c>
      <c r="D115" s="7" t="str">
        <f>PROPER(TRIM('raw data'!D115))</f>
        <v>Standard</v>
      </c>
      <c r="E115" s="7" t="str">
        <f>PROPER(TRIM('raw data'!E115))</f>
        <v>None</v>
      </c>
      <c r="F115" s="8">
        <v>51</v>
      </c>
      <c r="G115" s="8">
        <v>58</v>
      </c>
      <c r="H115" s="8">
        <v>54</v>
      </c>
      <c r="I115">
        <f t="shared" si="3"/>
        <v>163</v>
      </c>
      <c r="J115">
        <f t="shared" si="4"/>
        <v>54.333333333333336</v>
      </c>
      <c r="K115" s="7" t="str">
        <f t="shared" si="5"/>
        <v>pass</v>
      </c>
    </row>
    <row r="116" spans="1:11" x14ac:dyDescent="0.25">
      <c r="A116" t="str">
        <f>PROPER(TRIM('raw data'!A116))</f>
        <v>Female</v>
      </c>
      <c r="B116" t="str">
        <f>PROPER(TRIM('raw data'!B116))</f>
        <v>Group E</v>
      </c>
      <c r="C116" s="7" t="str">
        <f>PROPER(TRIM('raw data'!C116))</f>
        <v>Bachelor'S Degree</v>
      </c>
      <c r="D116" s="7" t="str">
        <f>PROPER(TRIM('raw data'!D116))</f>
        <v>Standard</v>
      </c>
      <c r="E116" s="7" t="str">
        <f>PROPER(TRIM('raw data'!E116))</f>
        <v>Completed</v>
      </c>
      <c r="F116" s="8">
        <v>99</v>
      </c>
      <c r="G116" s="8">
        <v>100</v>
      </c>
      <c r="H116" s="8">
        <v>100</v>
      </c>
      <c r="I116">
        <f t="shared" si="3"/>
        <v>299</v>
      </c>
      <c r="J116">
        <f t="shared" si="4"/>
        <v>99.666666666666671</v>
      </c>
      <c r="K116" s="7" t="str">
        <f t="shared" si="5"/>
        <v>pass</v>
      </c>
    </row>
    <row r="117" spans="1:11" x14ac:dyDescent="0.25">
      <c r="A117" t="str">
        <f>PROPER(TRIM('raw data'!A117))</f>
        <v>Male</v>
      </c>
      <c r="B117" t="str">
        <f>PROPER(TRIM('raw data'!B117))</f>
        <v>Group C</v>
      </c>
      <c r="C117" s="7" t="str">
        <f>PROPER(TRIM('raw data'!C117))</f>
        <v>High School</v>
      </c>
      <c r="D117" s="7" t="str">
        <f>PROPER(TRIM('raw data'!D117))</f>
        <v>Standard</v>
      </c>
      <c r="E117" s="7" t="str">
        <f>PROPER(TRIM('raw data'!E117))</f>
        <v>None</v>
      </c>
      <c r="F117" s="8">
        <v>84</v>
      </c>
      <c r="G117" s="8">
        <v>77</v>
      </c>
      <c r="H117" s="8">
        <v>74</v>
      </c>
      <c r="I117">
        <f t="shared" si="3"/>
        <v>235</v>
      </c>
      <c r="J117">
        <f t="shared" si="4"/>
        <v>78.333333333333329</v>
      </c>
      <c r="K117" s="7" t="str">
        <f t="shared" si="5"/>
        <v>pass</v>
      </c>
    </row>
    <row r="118" spans="1:11" x14ac:dyDescent="0.25">
      <c r="A118" t="str">
        <f>PROPER(TRIM('raw data'!A118))</f>
        <v>Female</v>
      </c>
      <c r="B118" t="str">
        <f>PROPER(TRIM('raw data'!B118))</f>
        <v>Group B</v>
      </c>
      <c r="C118" s="7" t="str">
        <f>PROPER(TRIM('raw data'!C118))</f>
        <v>Bachelor'S Degree</v>
      </c>
      <c r="D118" s="7" t="str">
        <f>PROPER(TRIM('raw data'!D118))</f>
        <v>Free/Reduced</v>
      </c>
      <c r="E118" s="7" t="str">
        <f>PROPER(TRIM('raw data'!E118))</f>
        <v>None</v>
      </c>
      <c r="F118" s="8">
        <v>75</v>
      </c>
      <c r="G118" s="8">
        <v>85</v>
      </c>
      <c r="H118" s="8">
        <v>82</v>
      </c>
      <c r="I118">
        <f t="shared" si="3"/>
        <v>242</v>
      </c>
      <c r="J118">
        <f t="shared" si="4"/>
        <v>80.666666666666671</v>
      </c>
      <c r="K118" s="7" t="str">
        <f t="shared" si="5"/>
        <v>pass</v>
      </c>
    </row>
    <row r="119" spans="1:11" x14ac:dyDescent="0.25">
      <c r="A119" t="str">
        <f>PROPER(TRIM('raw data'!A119))</f>
        <v>Female</v>
      </c>
      <c r="B119" t="str">
        <f>PROPER(TRIM('raw data'!B119))</f>
        <v>Group D</v>
      </c>
      <c r="C119" s="7" t="str">
        <f>PROPER(TRIM('raw data'!C119))</f>
        <v>Bachelor'S Degree</v>
      </c>
      <c r="D119" s="7" t="str">
        <f>PROPER(TRIM('raw data'!D119))</f>
        <v>Standard</v>
      </c>
      <c r="E119" s="7" t="str">
        <f>PROPER(TRIM('raw data'!E119))</f>
        <v>None</v>
      </c>
      <c r="F119" s="8">
        <v>78</v>
      </c>
      <c r="G119" s="8">
        <v>82</v>
      </c>
      <c r="H119" s="8">
        <v>79</v>
      </c>
      <c r="I119">
        <f t="shared" si="3"/>
        <v>239</v>
      </c>
      <c r="J119">
        <f t="shared" si="4"/>
        <v>79.666666666666671</v>
      </c>
      <c r="K119" s="7" t="str">
        <f t="shared" si="5"/>
        <v>pass</v>
      </c>
    </row>
    <row r="120" spans="1:11" x14ac:dyDescent="0.25">
      <c r="A120" t="str">
        <f>PROPER(TRIM('raw data'!A120))</f>
        <v>Female</v>
      </c>
      <c r="B120" t="str">
        <f>PROPER(TRIM('raw data'!B120))</f>
        <v>Group D</v>
      </c>
      <c r="C120" s="7" t="str">
        <f>PROPER(TRIM('raw data'!C120))</f>
        <v>Some High School</v>
      </c>
      <c r="D120" s="7" t="str">
        <f>PROPER(TRIM('raw data'!D120))</f>
        <v>Standard</v>
      </c>
      <c r="E120" s="7" t="str">
        <f>PROPER(TRIM('raw data'!E120))</f>
        <v>None</v>
      </c>
      <c r="F120" s="8">
        <v>51</v>
      </c>
      <c r="G120" s="8">
        <v>63</v>
      </c>
      <c r="H120" s="8">
        <v>61</v>
      </c>
      <c r="I120">
        <f t="shared" si="3"/>
        <v>175</v>
      </c>
      <c r="J120">
        <f t="shared" si="4"/>
        <v>58.333333333333336</v>
      </c>
      <c r="K120" s="7" t="str">
        <f t="shared" si="5"/>
        <v>pass</v>
      </c>
    </row>
    <row r="121" spans="1:11" x14ac:dyDescent="0.25">
      <c r="A121" t="str">
        <f>PROPER(TRIM('raw data'!A121))</f>
        <v>Female</v>
      </c>
      <c r="B121" t="str">
        <f>PROPER(TRIM('raw data'!B121))</f>
        <v>Group C</v>
      </c>
      <c r="C121" s="7" t="str">
        <f>PROPER(TRIM('raw data'!C121))</f>
        <v>Some College</v>
      </c>
      <c r="D121" s="7" t="str">
        <f>PROPER(TRIM('raw data'!D121))</f>
        <v>Standard</v>
      </c>
      <c r="E121" s="7" t="str">
        <f>PROPER(TRIM('raw data'!E121))</f>
        <v>None</v>
      </c>
      <c r="F121" s="8">
        <v>55</v>
      </c>
      <c r="G121" s="8">
        <v>69</v>
      </c>
      <c r="H121" s="8">
        <v>65</v>
      </c>
      <c r="I121">
        <f t="shared" si="3"/>
        <v>189</v>
      </c>
      <c r="J121">
        <f t="shared" si="4"/>
        <v>63</v>
      </c>
      <c r="K121" s="7" t="str">
        <f t="shared" si="5"/>
        <v>pass</v>
      </c>
    </row>
    <row r="122" spans="1:11" x14ac:dyDescent="0.25">
      <c r="A122" t="str">
        <f>PROPER(TRIM('raw data'!A122))</f>
        <v>Female</v>
      </c>
      <c r="B122" t="str">
        <f>PROPER(TRIM('raw data'!B122))</f>
        <v>Group C</v>
      </c>
      <c r="C122" s="7" t="str">
        <f>PROPER(TRIM('raw data'!C122))</f>
        <v>Bachelor'S Degree</v>
      </c>
      <c r="D122" s="7" t="str">
        <f>PROPER(TRIM('raw data'!D122))</f>
        <v>Standard</v>
      </c>
      <c r="E122" s="7" t="str">
        <f>PROPER(TRIM('raw data'!E122))</f>
        <v>Completed</v>
      </c>
      <c r="F122" s="8">
        <v>79</v>
      </c>
      <c r="G122" s="8">
        <v>92</v>
      </c>
      <c r="H122" s="8">
        <v>89</v>
      </c>
      <c r="I122">
        <f t="shared" si="3"/>
        <v>260</v>
      </c>
      <c r="J122">
        <f t="shared" si="4"/>
        <v>86.666666666666671</v>
      </c>
      <c r="K122" s="7" t="str">
        <f t="shared" si="5"/>
        <v>pass</v>
      </c>
    </row>
    <row r="123" spans="1:11" x14ac:dyDescent="0.25">
      <c r="A123" t="str">
        <f>PROPER(TRIM('raw data'!A123))</f>
        <v>Male</v>
      </c>
      <c r="B123" t="str">
        <f>PROPER(TRIM('raw data'!B123))</f>
        <v>Group B</v>
      </c>
      <c r="C123" s="7" t="str">
        <f>PROPER(TRIM('raw data'!C123))</f>
        <v>Associate'S Degree</v>
      </c>
      <c r="D123" s="7" t="str">
        <f>PROPER(TRIM('raw data'!D123))</f>
        <v>Standard</v>
      </c>
      <c r="E123" s="7" t="str">
        <f>PROPER(TRIM('raw data'!E123))</f>
        <v>Completed</v>
      </c>
      <c r="F123" s="8">
        <v>91</v>
      </c>
      <c r="G123" s="8">
        <v>89</v>
      </c>
      <c r="H123" s="8">
        <v>92</v>
      </c>
      <c r="I123">
        <f t="shared" si="3"/>
        <v>272</v>
      </c>
      <c r="J123">
        <f t="shared" si="4"/>
        <v>90.666666666666671</v>
      </c>
      <c r="K123" s="7" t="str">
        <f t="shared" si="5"/>
        <v>pass</v>
      </c>
    </row>
    <row r="124" spans="1:11" x14ac:dyDescent="0.25">
      <c r="A124" t="str">
        <f>PROPER(TRIM('raw data'!A124))</f>
        <v>Female</v>
      </c>
      <c r="B124" t="str">
        <f>PROPER(TRIM('raw data'!B124))</f>
        <v>Group C</v>
      </c>
      <c r="C124" s="7" t="str">
        <f>PROPER(TRIM('raw data'!C124))</f>
        <v>Some College</v>
      </c>
      <c r="D124" s="7" t="str">
        <f>PROPER(TRIM('raw data'!D124))</f>
        <v>Standard</v>
      </c>
      <c r="E124" s="7" t="str">
        <f>PROPER(TRIM('raw data'!E124))</f>
        <v>Completed</v>
      </c>
      <c r="F124" s="8">
        <v>88</v>
      </c>
      <c r="G124" s="8">
        <v>93</v>
      </c>
      <c r="H124" s="8">
        <v>93</v>
      </c>
      <c r="I124">
        <f t="shared" si="3"/>
        <v>274</v>
      </c>
      <c r="J124">
        <f t="shared" si="4"/>
        <v>91.333333333333329</v>
      </c>
      <c r="K124" s="7" t="str">
        <f t="shared" si="5"/>
        <v>pass</v>
      </c>
    </row>
    <row r="125" spans="1:11" x14ac:dyDescent="0.25">
      <c r="A125" t="str">
        <f>PROPER(TRIM('raw data'!A125))</f>
        <v>Male</v>
      </c>
      <c r="B125" t="str">
        <f>PROPER(TRIM('raw data'!B125))</f>
        <v>Group D</v>
      </c>
      <c r="C125" s="7" t="str">
        <f>PROPER(TRIM('raw data'!C125))</f>
        <v>High School</v>
      </c>
      <c r="D125" s="7" t="str">
        <f>PROPER(TRIM('raw data'!D125))</f>
        <v>Free/Reduced</v>
      </c>
      <c r="E125" s="7" t="str">
        <f>PROPER(TRIM('raw data'!E125))</f>
        <v>None</v>
      </c>
      <c r="F125" s="8">
        <v>63</v>
      </c>
      <c r="G125" s="8">
        <v>57</v>
      </c>
      <c r="H125" s="8">
        <v>56</v>
      </c>
      <c r="I125">
        <f t="shared" si="3"/>
        <v>176</v>
      </c>
      <c r="J125">
        <f t="shared" si="4"/>
        <v>58.666666666666664</v>
      </c>
      <c r="K125" s="7" t="str">
        <f t="shared" si="5"/>
        <v>pass</v>
      </c>
    </row>
    <row r="126" spans="1:11" x14ac:dyDescent="0.25">
      <c r="A126" t="str">
        <f>PROPER(TRIM('raw data'!A126))</f>
        <v>Male</v>
      </c>
      <c r="B126" t="str">
        <f>PROPER(TRIM('raw data'!B126))</f>
        <v>Group E</v>
      </c>
      <c r="C126" s="7" t="str">
        <f>PROPER(TRIM('raw data'!C126))</f>
        <v>Some College</v>
      </c>
      <c r="D126" s="7" t="str">
        <f>PROPER(TRIM('raw data'!D126))</f>
        <v>Standard</v>
      </c>
      <c r="E126" s="7" t="str">
        <f>PROPER(TRIM('raw data'!E126))</f>
        <v>None</v>
      </c>
      <c r="F126" s="8">
        <v>83</v>
      </c>
      <c r="G126" s="8">
        <v>80</v>
      </c>
      <c r="H126" s="8">
        <v>73</v>
      </c>
      <c r="I126">
        <f t="shared" si="3"/>
        <v>236</v>
      </c>
      <c r="J126">
        <f t="shared" si="4"/>
        <v>78.666666666666671</v>
      </c>
      <c r="K126" s="7" t="str">
        <f t="shared" si="5"/>
        <v>pass</v>
      </c>
    </row>
    <row r="127" spans="1:11" x14ac:dyDescent="0.25">
      <c r="A127" t="str">
        <f>PROPER(TRIM('raw data'!A127))</f>
        <v>Female</v>
      </c>
      <c r="B127" t="str">
        <f>PROPER(TRIM('raw data'!B127))</f>
        <v>Group B</v>
      </c>
      <c r="C127" s="7" t="str">
        <f>PROPER(TRIM('raw data'!C127))</f>
        <v>High School</v>
      </c>
      <c r="D127" s="7" t="str">
        <f>PROPER(TRIM('raw data'!D127))</f>
        <v>Standard</v>
      </c>
      <c r="E127" s="7" t="str">
        <f>PROPER(TRIM('raw data'!E127))</f>
        <v>None</v>
      </c>
      <c r="F127" s="8">
        <v>87</v>
      </c>
      <c r="G127" s="8">
        <v>95</v>
      </c>
      <c r="H127" s="8">
        <v>86</v>
      </c>
      <c r="I127">
        <f t="shared" si="3"/>
        <v>268</v>
      </c>
      <c r="J127">
        <f t="shared" si="4"/>
        <v>89.333333333333329</v>
      </c>
      <c r="K127" s="7" t="str">
        <f t="shared" si="5"/>
        <v>pass</v>
      </c>
    </row>
    <row r="128" spans="1:11" x14ac:dyDescent="0.25">
      <c r="A128" t="str">
        <f>PROPER(TRIM('raw data'!A128))</f>
        <v>Male</v>
      </c>
      <c r="B128" t="str">
        <f>PROPER(TRIM('raw data'!B128))</f>
        <v>Group B</v>
      </c>
      <c r="C128" s="7" t="str">
        <f>PROPER(TRIM('raw data'!C128))</f>
        <v>Some High School</v>
      </c>
      <c r="D128" s="7" t="str">
        <f>PROPER(TRIM('raw data'!D128))</f>
        <v>Standard</v>
      </c>
      <c r="E128" s="7" t="str">
        <f>PROPER(TRIM('raw data'!E128))</f>
        <v>None</v>
      </c>
      <c r="F128" s="8">
        <v>72</v>
      </c>
      <c r="G128" s="8">
        <v>68</v>
      </c>
      <c r="H128" s="8">
        <v>67</v>
      </c>
      <c r="I128">
        <f t="shared" si="3"/>
        <v>207</v>
      </c>
      <c r="J128">
        <f t="shared" si="4"/>
        <v>69</v>
      </c>
      <c r="K128" s="7" t="str">
        <f t="shared" si="5"/>
        <v>pass</v>
      </c>
    </row>
    <row r="129" spans="1:11" x14ac:dyDescent="0.25">
      <c r="A129" t="str">
        <f>PROPER(TRIM('raw data'!A129))</f>
        <v>Male</v>
      </c>
      <c r="B129" t="str">
        <f>PROPER(TRIM('raw data'!B129))</f>
        <v>Group D</v>
      </c>
      <c r="C129" s="7" t="str">
        <f>PROPER(TRIM('raw data'!C129))</f>
        <v>Some College</v>
      </c>
      <c r="D129" s="7" t="str">
        <f>PROPER(TRIM('raw data'!D129))</f>
        <v>Standard</v>
      </c>
      <c r="E129" s="7" t="str">
        <f>PROPER(TRIM('raw data'!E129))</f>
        <v>Completed</v>
      </c>
      <c r="F129" s="8">
        <v>65</v>
      </c>
      <c r="G129" s="8">
        <v>77</v>
      </c>
      <c r="H129" s="8">
        <v>74</v>
      </c>
      <c r="I129">
        <f t="shared" si="3"/>
        <v>216</v>
      </c>
      <c r="J129">
        <f t="shared" si="4"/>
        <v>72</v>
      </c>
      <c r="K129" s="7" t="str">
        <f t="shared" si="5"/>
        <v>pass</v>
      </c>
    </row>
    <row r="130" spans="1:11" x14ac:dyDescent="0.25">
      <c r="A130" t="str">
        <f>PROPER(TRIM('raw data'!A130))</f>
        <v>Male</v>
      </c>
      <c r="B130" t="str">
        <f>PROPER(TRIM('raw data'!B130))</f>
        <v>Group D</v>
      </c>
      <c r="C130" s="7" t="str">
        <f>PROPER(TRIM('raw data'!C130))</f>
        <v>Master'S Degree</v>
      </c>
      <c r="D130" s="7" t="str">
        <f>PROPER(TRIM('raw data'!D130))</f>
        <v>Standard</v>
      </c>
      <c r="E130" s="7" t="str">
        <f>PROPER(TRIM('raw data'!E130))</f>
        <v>None</v>
      </c>
      <c r="F130" s="8">
        <v>82</v>
      </c>
      <c r="G130" s="8">
        <v>82</v>
      </c>
      <c r="H130" s="8">
        <v>74</v>
      </c>
      <c r="I130">
        <f t="shared" si="3"/>
        <v>238</v>
      </c>
      <c r="J130">
        <f t="shared" si="4"/>
        <v>79.333333333333329</v>
      </c>
      <c r="K130" s="7" t="str">
        <f t="shared" si="5"/>
        <v>pass</v>
      </c>
    </row>
    <row r="131" spans="1:11" x14ac:dyDescent="0.25">
      <c r="A131" t="str">
        <f>PROPER(TRIM('raw data'!A131))</f>
        <v>Female</v>
      </c>
      <c r="B131" t="str">
        <f>PROPER(TRIM('raw data'!B131))</f>
        <v>Group A</v>
      </c>
      <c r="C131" s="7" t="str">
        <f>PROPER(TRIM('raw data'!C131))</f>
        <v>Bachelor'S Degree</v>
      </c>
      <c r="D131" s="7" t="str">
        <f>PROPER(TRIM('raw data'!D131))</f>
        <v>Standard</v>
      </c>
      <c r="E131" s="7" t="str">
        <f>PROPER(TRIM('raw data'!E131))</f>
        <v>None</v>
      </c>
      <c r="F131" s="8">
        <v>51</v>
      </c>
      <c r="G131" s="8">
        <v>49</v>
      </c>
      <c r="H131" s="8">
        <v>51</v>
      </c>
      <c r="I131">
        <f t="shared" ref="I131:I194" si="6">F131+G131+H131</f>
        <v>151</v>
      </c>
      <c r="J131">
        <f t="shared" ref="J131:J194" si="7">I131/3</f>
        <v>50.333333333333336</v>
      </c>
      <c r="K131" s="7" t="str">
        <f t="shared" ref="K131:K194" si="8">IF(J131&gt;=40,"pass","fail")</f>
        <v>pass</v>
      </c>
    </row>
    <row r="132" spans="1:11" x14ac:dyDescent="0.25">
      <c r="A132" t="str">
        <f>PROPER(TRIM('raw data'!A132))</f>
        <v>Male</v>
      </c>
      <c r="B132" t="str">
        <f>PROPER(TRIM('raw data'!B132))</f>
        <v>Group D</v>
      </c>
      <c r="C132" s="7" t="str">
        <f>PROPER(TRIM('raw data'!C132))</f>
        <v>Master'S Degree</v>
      </c>
      <c r="D132" s="7" t="str">
        <f>PROPER(TRIM('raw data'!D132))</f>
        <v>Standard</v>
      </c>
      <c r="E132" s="7" t="str">
        <f>PROPER(TRIM('raw data'!E132))</f>
        <v>None</v>
      </c>
      <c r="F132" s="8">
        <v>89</v>
      </c>
      <c r="G132" s="8">
        <v>84</v>
      </c>
      <c r="H132" s="8">
        <v>82</v>
      </c>
      <c r="I132">
        <f t="shared" si="6"/>
        <v>255</v>
      </c>
      <c r="J132">
        <f t="shared" si="7"/>
        <v>85</v>
      </c>
      <c r="K132" s="7" t="str">
        <f t="shared" si="8"/>
        <v>pass</v>
      </c>
    </row>
    <row r="133" spans="1:11" x14ac:dyDescent="0.25">
      <c r="A133" t="str">
        <f>PROPER(TRIM('raw data'!A133))</f>
        <v>Male</v>
      </c>
      <c r="B133" t="str">
        <f>PROPER(TRIM('raw data'!B133))</f>
        <v>Group C</v>
      </c>
      <c r="C133" s="7" t="str">
        <f>PROPER(TRIM('raw data'!C133))</f>
        <v>Some High School</v>
      </c>
      <c r="D133" s="7" t="str">
        <f>PROPER(TRIM('raw data'!D133))</f>
        <v>Free/Reduced</v>
      </c>
      <c r="E133" s="7" t="str">
        <f>PROPER(TRIM('raw data'!E133))</f>
        <v>Completed</v>
      </c>
      <c r="F133" s="8">
        <v>53</v>
      </c>
      <c r="G133" s="8">
        <v>37</v>
      </c>
      <c r="H133" s="8">
        <v>40</v>
      </c>
      <c r="I133">
        <f t="shared" si="6"/>
        <v>130</v>
      </c>
      <c r="J133">
        <f t="shared" si="7"/>
        <v>43.333333333333336</v>
      </c>
      <c r="K133" s="7" t="str">
        <f t="shared" si="8"/>
        <v>pass</v>
      </c>
    </row>
    <row r="134" spans="1:11" x14ac:dyDescent="0.25">
      <c r="A134" t="str">
        <f>PROPER(TRIM('raw data'!A134))</f>
        <v>Male</v>
      </c>
      <c r="B134" t="str">
        <f>PROPER(TRIM('raw data'!B134))</f>
        <v>Group E</v>
      </c>
      <c r="C134" s="7" t="str">
        <f>PROPER(TRIM('raw data'!C134))</f>
        <v>Some College</v>
      </c>
      <c r="D134" s="7" t="str">
        <f>PROPER(TRIM('raw data'!D134))</f>
        <v>Free/Reduced</v>
      </c>
      <c r="E134" s="7" t="str">
        <f>PROPER(TRIM('raw data'!E134))</f>
        <v>Completed</v>
      </c>
      <c r="F134" s="8">
        <v>87</v>
      </c>
      <c r="G134" s="8">
        <v>74</v>
      </c>
      <c r="H134" s="8">
        <v>70</v>
      </c>
      <c r="I134">
        <f t="shared" si="6"/>
        <v>231</v>
      </c>
      <c r="J134">
        <f t="shared" si="7"/>
        <v>77</v>
      </c>
      <c r="K134" s="7" t="str">
        <f t="shared" si="8"/>
        <v>pass</v>
      </c>
    </row>
    <row r="135" spans="1:11" x14ac:dyDescent="0.25">
      <c r="A135" t="str">
        <f>PROPER(TRIM('raw data'!A135))</f>
        <v>Female</v>
      </c>
      <c r="B135" t="str">
        <f>PROPER(TRIM('raw data'!B135))</f>
        <v>Group C</v>
      </c>
      <c r="C135" s="7" t="str">
        <f>PROPER(TRIM('raw data'!C135))</f>
        <v>Some College</v>
      </c>
      <c r="D135" s="7" t="str">
        <f>PROPER(TRIM('raw data'!D135))</f>
        <v>Standard</v>
      </c>
      <c r="E135" s="7" t="str">
        <f>PROPER(TRIM('raw data'!E135))</f>
        <v>Completed</v>
      </c>
      <c r="F135" s="8">
        <v>75</v>
      </c>
      <c r="G135" s="8">
        <v>81</v>
      </c>
      <c r="H135" s="8">
        <v>84</v>
      </c>
      <c r="I135">
        <f t="shared" si="6"/>
        <v>240</v>
      </c>
      <c r="J135">
        <f t="shared" si="7"/>
        <v>80</v>
      </c>
      <c r="K135" s="7" t="str">
        <f t="shared" si="8"/>
        <v>pass</v>
      </c>
    </row>
    <row r="136" spans="1:11" x14ac:dyDescent="0.25">
      <c r="A136" t="str">
        <f>PROPER(TRIM('raw data'!A136))</f>
        <v>Male</v>
      </c>
      <c r="B136" t="str">
        <f>PROPER(TRIM('raw data'!B136))</f>
        <v>Group D</v>
      </c>
      <c r="C136" s="7" t="str">
        <f>PROPER(TRIM('raw data'!C136))</f>
        <v>Bachelor'S Degree</v>
      </c>
      <c r="D136" s="7" t="str">
        <f>PROPER(TRIM('raw data'!D136))</f>
        <v>Free/Reduced</v>
      </c>
      <c r="E136" s="7" t="str">
        <f>PROPER(TRIM('raw data'!E136))</f>
        <v>Completed</v>
      </c>
      <c r="F136" s="8">
        <v>74</v>
      </c>
      <c r="G136" s="8">
        <v>79</v>
      </c>
      <c r="H136" s="8">
        <v>75</v>
      </c>
      <c r="I136">
        <f t="shared" si="6"/>
        <v>228</v>
      </c>
      <c r="J136">
        <f t="shared" si="7"/>
        <v>76</v>
      </c>
      <c r="K136" s="7" t="str">
        <f t="shared" si="8"/>
        <v>pass</v>
      </c>
    </row>
    <row r="137" spans="1:11" x14ac:dyDescent="0.25">
      <c r="A137" t="str">
        <f>PROPER(TRIM('raw data'!A137))</f>
        <v>Male</v>
      </c>
      <c r="B137" t="str">
        <f>PROPER(TRIM('raw data'!B137))</f>
        <v>Group C</v>
      </c>
      <c r="C137" s="7" t="str">
        <f>PROPER(TRIM('raw data'!C137))</f>
        <v>Bachelor'S Degree</v>
      </c>
      <c r="D137" s="7" t="str">
        <f>PROPER(TRIM('raw data'!D137))</f>
        <v>Standard</v>
      </c>
      <c r="E137" s="7" t="str">
        <f>PROPER(TRIM('raw data'!E137))</f>
        <v>None</v>
      </c>
      <c r="F137" s="8">
        <v>58</v>
      </c>
      <c r="G137" s="8">
        <v>55</v>
      </c>
      <c r="H137" s="8">
        <v>48</v>
      </c>
      <c r="I137">
        <f t="shared" si="6"/>
        <v>161</v>
      </c>
      <c r="J137">
        <f t="shared" si="7"/>
        <v>53.666666666666664</v>
      </c>
      <c r="K137" s="7" t="str">
        <f t="shared" si="8"/>
        <v>pass</v>
      </c>
    </row>
    <row r="138" spans="1:11" x14ac:dyDescent="0.25">
      <c r="A138" t="str">
        <f>PROPER(TRIM('raw data'!A138))</f>
        <v>Male</v>
      </c>
      <c r="B138" t="str">
        <f>PROPER(TRIM('raw data'!B138))</f>
        <v>Group B</v>
      </c>
      <c r="C138" s="7" t="str">
        <f>PROPER(TRIM('raw data'!C138))</f>
        <v>Some High School</v>
      </c>
      <c r="D138" s="7" t="str">
        <f>PROPER(TRIM('raw data'!D138))</f>
        <v>Standard</v>
      </c>
      <c r="E138" s="7" t="str">
        <f>PROPER(TRIM('raw data'!E138))</f>
        <v>Completed</v>
      </c>
      <c r="F138" s="8">
        <v>51</v>
      </c>
      <c r="G138" s="8">
        <v>54</v>
      </c>
      <c r="H138" s="8">
        <v>41</v>
      </c>
      <c r="I138">
        <f t="shared" si="6"/>
        <v>146</v>
      </c>
      <c r="J138">
        <f t="shared" si="7"/>
        <v>48.666666666666664</v>
      </c>
      <c r="K138" s="7" t="str">
        <f t="shared" si="8"/>
        <v>pass</v>
      </c>
    </row>
    <row r="139" spans="1:11" x14ac:dyDescent="0.25">
      <c r="A139" t="str">
        <f>PROPER(TRIM('raw data'!A139))</f>
        <v>Male</v>
      </c>
      <c r="B139" t="str">
        <f>PROPER(TRIM('raw data'!B139))</f>
        <v>Group E</v>
      </c>
      <c r="C139" s="7" t="str">
        <f>PROPER(TRIM('raw data'!C139))</f>
        <v>High School</v>
      </c>
      <c r="D139" s="7" t="str">
        <f>PROPER(TRIM('raw data'!D139))</f>
        <v>Standard</v>
      </c>
      <c r="E139" s="7" t="str">
        <f>PROPER(TRIM('raw data'!E139))</f>
        <v>None</v>
      </c>
      <c r="F139" s="8">
        <v>70</v>
      </c>
      <c r="G139" s="8">
        <v>55</v>
      </c>
      <c r="H139" s="8">
        <v>56</v>
      </c>
      <c r="I139">
        <f t="shared" si="6"/>
        <v>181</v>
      </c>
      <c r="J139">
        <f t="shared" si="7"/>
        <v>60.333333333333336</v>
      </c>
      <c r="K139" s="7" t="str">
        <f t="shared" si="8"/>
        <v>pass</v>
      </c>
    </row>
    <row r="140" spans="1:11" x14ac:dyDescent="0.25">
      <c r="A140" t="str">
        <f>PROPER(TRIM('raw data'!A140))</f>
        <v>Female</v>
      </c>
      <c r="B140" t="str">
        <f>PROPER(TRIM('raw data'!B140))</f>
        <v>Group C</v>
      </c>
      <c r="C140" s="7" t="str">
        <f>PROPER(TRIM('raw data'!C140))</f>
        <v>Associate'S Degree</v>
      </c>
      <c r="D140" s="7" t="str">
        <f>PROPER(TRIM('raw data'!D140))</f>
        <v>Standard</v>
      </c>
      <c r="E140" s="7" t="str">
        <f>PROPER(TRIM('raw data'!E140))</f>
        <v>None</v>
      </c>
      <c r="F140" s="8">
        <v>59</v>
      </c>
      <c r="G140" s="8">
        <v>66</v>
      </c>
      <c r="H140" s="8">
        <v>67</v>
      </c>
      <c r="I140">
        <f t="shared" si="6"/>
        <v>192</v>
      </c>
      <c r="J140">
        <f t="shared" si="7"/>
        <v>64</v>
      </c>
      <c r="K140" s="7" t="str">
        <f t="shared" si="8"/>
        <v>pass</v>
      </c>
    </row>
    <row r="141" spans="1:11" x14ac:dyDescent="0.25">
      <c r="A141" t="str">
        <f>PROPER(TRIM('raw data'!A141))</f>
        <v>Male</v>
      </c>
      <c r="B141" t="str">
        <f>PROPER(TRIM('raw data'!B141))</f>
        <v>Group D</v>
      </c>
      <c r="C141" s="7" t="str">
        <f>PROPER(TRIM('raw data'!C141))</f>
        <v>Some College</v>
      </c>
      <c r="D141" s="7" t="str">
        <f>PROPER(TRIM('raw data'!D141))</f>
        <v>Standard</v>
      </c>
      <c r="E141" s="7" t="str">
        <f>PROPER(TRIM('raw data'!E141))</f>
        <v>Completed</v>
      </c>
      <c r="F141" s="8">
        <v>71</v>
      </c>
      <c r="G141" s="8">
        <v>61</v>
      </c>
      <c r="H141" s="8">
        <v>69</v>
      </c>
      <c r="I141">
        <f t="shared" si="6"/>
        <v>201</v>
      </c>
      <c r="J141">
        <f t="shared" si="7"/>
        <v>67</v>
      </c>
      <c r="K141" s="7" t="str">
        <f t="shared" si="8"/>
        <v>pass</v>
      </c>
    </row>
    <row r="142" spans="1:11" x14ac:dyDescent="0.25">
      <c r="A142" t="str">
        <f>PROPER(TRIM('raw data'!A142))</f>
        <v>Female</v>
      </c>
      <c r="B142" t="str">
        <f>PROPER(TRIM('raw data'!B142))</f>
        <v>Group D</v>
      </c>
      <c r="C142" s="7" t="str">
        <f>PROPER(TRIM('raw data'!C142))</f>
        <v>Some High School</v>
      </c>
      <c r="D142" s="7" t="str">
        <f>PROPER(TRIM('raw data'!D142))</f>
        <v>Standard</v>
      </c>
      <c r="E142" s="7" t="str">
        <f>PROPER(TRIM('raw data'!E142))</f>
        <v>None</v>
      </c>
      <c r="F142" s="8">
        <v>76</v>
      </c>
      <c r="G142" s="8">
        <v>72</v>
      </c>
      <c r="H142" s="8">
        <v>71</v>
      </c>
      <c r="I142">
        <f t="shared" si="6"/>
        <v>219</v>
      </c>
      <c r="J142">
        <f t="shared" si="7"/>
        <v>73</v>
      </c>
      <c r="K142" s="7" t="str">
        <f t="shared" si="8"/>
        <v>pass</v>
      </c>
    </row>
    <row r="143" spans="1:11" x14ac:dyDescent="0.25">
      <c r="A143" t="str">
        <f>PROPER(TRIM('raw data'!A143))</f>
        <v>Female</v>
      </c>
      <c r="B143" t="str">
        <f>PROPER(TRIM('raw data'!B143))</f>
        <v>Group C</v>
      </c>
      <c r="C143" s="7" t="str">
        <f>PROPER(TRIM('raw data'!C143))</f>
        <v>Some College</v>
      </c>
      <c r="D143" s="7" t="str">
        <f>PROPER(TRIM('raw data'!D143))</f>
        <v>Free/Reduced</v>
      </c>
      <c r="E143" s="7" t="str">
        <f>PROPER(TRIM('raw data'!E143))</f>
        <v>None</v>
      </c>
      <c r="F143" s="8">
        <v>59</v>
      </c>
      <c r="G143" s="8">
        <v>62</v>
      </c>
      <c r="H143" s="8">
        <v>64</v>
      </c>
      <c r="I143">
        <f t="shared" si="6"/>
        <v>185</v>
      </c>
      <c r="J143">
        <f t="shared" si="7"/>
        <v>61.666666666666664</v>
      </c>
      <c r="K143" s="7" t="str">
        <f t="shared" si="8"/>
        <v>pass</v>
      </c>
    </row>
    <row r="144" spans="1:11" x14ac:dyDescent="0.25">
      <c r="A144" t="str">
        <f>PROPER(TRIM('raw data'!A144))</f>
        <v>Female</v>
      </c>
      <c r="B144" t="str">
        <f>PROPER(TRIM('raw data'!B144))</f>
        <v>Group E</v>
      </c>
      <c r="C144" s="7" t="str">
        <f>PROPER(TRIM('raw data'!C144))</f>
        <v>Some College</v>
      </c>
      <c r="D144" s="7" t="str">
        <f>PROPER(TRIM('raw data'!D144))</f>
        <v>Free/Reduced</v>
      </c>
      <c r="E144" s="7" t="str">
        <f>PROPER(TRIM('raw data'!E144))</f>
        <v>Completed</v>
      </c>
      <c r="F144" s="8">
        <v>42</v>
      </c>
      <c r="G144" s="8">
        <v>55</v>
      </c>
      <c r="H144" s="8">
        <v>54</v>
      </c>
      <c r="I144">
        <f t="shared" si="6"/>
        <v>151</v>
      </c>
      <c r="J144">
        <f t="shared" si="7"/>
        <v>50.333333333333336</v>
      </c>
      <c r="K144" s="7" t="str">
        <f t="shared" si="8"/>
        <v>pass</v>
      </c>
    </row>
    <row r="145" spans="1:11" x14ac:dyDescent="0.25">
      <c r="A145" t="str">
        <f>PROPER(TRIM('raw data'!A145))</f>
        <v>Male</v>
      </c>
      <c r="B145" t="str">
        <f>PROPER(TRIM('raw data'!B145))</f>
        <v>Group A</v>
      </c>
      <c r="C145" s="7" t="str">
        <f>PROPER(TRIM('raw data'!C145))</f>
        <v>High School</v>
      </c>
      <c r="D145" s="7" t="str">
        <f>PROPER(TRIM('raw data'!D145))</f>
        <v>Standard</v>
      </c>
      <c r="E145" s="7" t="str">
        <f>PROPER(TRIM('raw data'!E145))</f>
        <v>None</v>
      </c>
      <c r="F145" s="8">
        <v>57</v>
      </c>
      <c r="G145" s="8">
        <v>43</v>
      </c>
      <c r="H145" s="8">
        <v>47</v>
      </c>
      <c r="I145">
        <f t="shared" si="6"/>
        <v>147</v>
      </c>
      <c r="J145">
        <f t="shared" si="7"/>
        <v>49</v>
      </c>
      <c r="K145" s="7" t="str">
        <f t="shared" si="8"/>
        <v>pass</v>
      </c>
    </row>
    <row r="146" spans="1:11" x14ac:dyDescent="0.25">
      <c r="A146" t="str">
        <f>PROPER(TRIM('raw data'!A146))</f>
        <v>Male</v>
      </c>
      <c r="B146" t="str">
        <f>PROPER(TRIM('raw data'!B146))</f>
        <v>Group D</v>
      </c>
      <c r="C146" s="7" t="str">
        <f>PROPER(TRIM('raw data'!C146))</f>
        <v>Some College</v>
      </c>
      <c r="D146" s="7" t="str">
        <f>PROPER(TRIM('raw data'!D146))</f>
        <v>Standard</v>
      </c>
      <c r="E146" s="7" t="str">
        <f>PROPER(TRIM('raw data'!E146))</f>
        <v>None</v>
      </c>
      <c r="F146" s="8">
        <v>88</v>
      </c>
      <c r="G146" s="8">
        <v>73</v>
      </c>
      <c r="H146" s="8">
        <v>78</v>
      </c>
      <c r="I146">
        <f t="shared" si="6"/>
        <v>239</v>
      </c>
      <c r="J146">
        <f t="shared" si="7"/>
        <v>79.666666666666671</v>
      </c>
      <c r="K146" s="7" t="str">
        <f t="shared" si="8"/>
        <v>pass</v>
      </c>
    </row>
    <row r="147" spans="1:11" x14ac:dyDescent="0.25">
      <c r="A147" t="str">
        <f>PROPER(TRIM('raw data'!A147))</f>
        <v>Female</v>
      </c>
      <c r="B147" t="str">
        <f>PROPER(TRIM('raw data'!B147))</f>
        <v>Group C</v>
      </c>
      <c r="C147" s="7" t="str">
        <f>PROPER(TRIM('raw data'!C147))</f>
        <v>Some College</v>
      </c>
      <c r="D147" s="7" t="str">
        <f>PROPER(TRIM('raw data'!D147))</f>
        <v>Free/Reduced</v>
      </c>
      <c r="E147" s="7" t="str">
        <f>PROPER(TRIM('raw data'!E147))</f>
        <v>None</v>
      </c>
      <c r="F147" s="8">
        <v>22</v>
      </c>
      <c r="G147" s="8">
        <v>39</v>
      </c>
      <c r="H147" s="8">
        <v>33</v>
      </c>
      <c r="I147">
        <f t="shared" si="6"/>
        <v>94</v>
      </c>
      <c r="J147">
        <f t="shared" si="7"/>
        <v>31.333333333333332</v>
      </c>
      <c r="K147" s="7" t="str">
        <f t="shared" si="8"/>
        <v>fail</v>
      </c>
    </row>
    <row r="148" spans="1:11" x14ac:dyDescent="0.25">
      <c r="A148" t="str">
        <f>PROPER(TRIM('raw data'!A148))</f>
        <v>Male</v>
      </c>
      <c r="B148" t="str">
        <f>PROPER(TRIM('raw data'!B148))</f>
        <v>Group B</v>
      </c>
      <c r="C148" s="7" t="str">
        <f>PROPER(TRIM('raw data'!C148))</f>
        <v>Some High School</v>
      </c>
      <c r="D148" s="7" t="str">
        <f>PROPER(TRIM('raw data'!D148))</f>
        <v>Standard</v>
      </c>
      <c r="E148" s="7" t="str">
        <f>PROPER(TRIM('raw data'!E148))</f>
        <v>None</v>
      </c>
      <c r="F148" s="8">
        <v>88</v>
      </c>
      <c r="G148" s="8">
        <v>84</v>
      </c>
      <c r="H148" s="8">
        <v>75</v>
      </c>
      <c r="I148">
        <f t="shared" si="6"/>
        <v>247</v>
      </c>
      <c r="J148">
        <f t="shared" si="7"/>
        <v>82.333333333333329</v>
      </c>
      <c r="K148" s="7" t="str">
        <f t="shared" si="8"/>
        <v>pass</v>
      </c>
    </row>
    <row r="149" spans="1:11" x14ac:dyDescent="0.25">
      <c r="A149" t="str">
        <f>PROPER(TRIM('raw data'!A149))</f>
        <v>Male</v>
      </c>
      <c r="B149" t="str">
        <f>PROPER(TRIM('raw data'!B149))</f>
        <v>Group C</v>
      </c>
      <c r="C149" s="7" t="str">
        <f>PROPER(TRIM('raw data'!C149))</f>
        <v>Associate'S Degree</v>
      </c>
      <c r="D149" s="7" t="str">
        <f>PROPER(TRIM('raw data'!D149))</f>
        <v>Free/Reduced</v>
      </c>
      <c r="E149" s="7" t="str">
        <f>PROPER(TRIM('raw data'!E149))</f>
        <v>None</v>
      </c>
      <c r="F149" s="8">
        <v>73</v>
      </c>
      <c r="G149" s="8">
        <v>68</v>
      </c>
      <c r="H149" s="8">
        <v>66</v>
      </c>
      <c r="I149">
        <f t="shared" si="6"/>
        <v>207</v>
      </c>
      <c r="J149">
        <f t="shared" si="7"/>
        <v>69</v>
      </c>
      <c r="K149" s="7" t="str">
        <f t="shared" si="8"/>
        <v>pass</v>
      </c>
    </row>
    <row r="150" spans="1:11" x14ac:dyDescent="0.25">
      <c r="A150" t="str">
        <f>PROPER(TRIM('raw data'!A150))</f>
        <v>Female</v>
      </c>
      <c r="B150" t="str">
        <f>PROPER(TRIM('raw data'!B150))</f>
        <v>Group D</v>
      </c>
      <c r="C150" s="7" t="str">
        <f>PROPER(TRIM('raw data'!C150))</f>
        <v>Bachelor'S Degree</v>
      </c>
      <c r="D150" s="7" t="str">
        <f>PROPER(TRIM('raw data'!D150))</f>
        <v>Standard</v>
      </c>
      <c r="E150" s="7" t="str">
        <f>PROPER(TRIM('raw data'!E150))</f>
        <v>Completed</v>
      </c>
      <c r="F150" s="8">
        <v>68</v>
      </c>
      <c r="G150" s="8">
        <v>75</v>
      </c>
      <c r="H150" s="8">
        <v>81</v>
      </c>
      <c r="I150">
        <f t="shared" si="6"/>
        <v>224</v>
      </c>
      <c r="J150">
        <f t="shared" si="7"/>
        <v>74.666666666666671</v>
      </c>
      <c r="K150" s="7" t="str">
        <f t="shared" si="8"/>
        <v>pass</v>
      </c>
    </row>
    <row r="151" spans="1:11" x14ac:dyDescent="0.25">
      <c r="A151" t="str">
        <f>PROPER(TRIM('raw data'!A151))</f>
        <v>Male</v>
      </c>
      <c r="B151" t="str">
        <f>PROPER(TRIM('raw data'!B151))</f>
        <v>Group E</v>
      </c>
      <c r="C151" s="7" t="str">
        <f>PROPER(TRIM('raw data'!C151))</f>
        <v>Associate'S Degree</v>
      </c>
      <c r="D151" s="7" t="str">
        <f>PROPER(TRIM('raw data'!D151))</f>
        <v>Free/Reduced</v>
      </c>
      <c r="E151" s="7" t="str">
        <f>PROPER(TRIM('raw data'!E151))</f>
        <v>Completed</v>
      </c>
      <c r="F151" s="8">
        <v>100</v>
      </c>
      <c r="G151" s="8">
        <v>100</v>
      </c>
      <c r="H151" s="8">
        <v>93</v>
      </c>
      <c r="I151">
        <f t="shared" si="6"/>
        <v>293</v>
      </c>
      <c r="J151">
        <f t="shared" si="7"/>
        <v>97.666666666666671</v>
      </c>
      <c r="K151" s="7" t="str">
        <f t="shared" si="8"/>
        <v>pass</v>
      </c>
    </row>
    <row r="152" spans="1:11" x14ac:dyDescent="0.25">
      <c r="A152" t="str">
        <f>PROPER(TRIM('raw data'!A152))</f>
        <v>Male</v>
      </c>
      <c r="B152" t="str">
        <f>PROPER(TRIM('raw data'!B152))</f>
        <v>Group A</v>
      </c>
      <c r="C152" s="7" t="str">
        <f>PROPER(TRIM('raw data'!C152))</f>
        <v>Some High School</v>
      </c>
      <c r="D152" s="7" t="str">
        <f>PROPER(TRIM('raw data'!D152))</f>
        <v>Standard</v>
      </c>
      <c r="E152" s="7" t="str">
        <f>PROPER(TRIM('raw data'!E152))</f>
        <v>Completed</v>
      </c>
      <c r="F152" s="8">
        <v>62</v>
      </c>
      <c r="G152" s="8">
        <v>67</v>
      </c>
      <c r="H152" s="8">
        <v>69</v>
      </c>
      <c r="I152">
        <f t="shared" si="6"/>
        <v>198</v>
      </c>
      <c r="J152">
        <f t="shared" si="7"/>
        <v>66</v>
      </c>
      <c r="K152" s="7" t="str">
        <f t="shared" si="8"/>
        <v>pass</v>
      </c>
    </row>
    <row r="153" spans="1:11" x14ac:dyDescent="0.25">
      <c r="A153" t="str">
        <f>PROPER(TRIM('raw data'!A153))</f>
        <v>Male</v>
      </c>
      <c r="B153" t="str">
        <f>PROPER(TRIM('raw data'!B153))</f>
        <v>Group A</v>
      </c>
      <c r="C153" s="7" t="str">
        <f>PROPER(TRIM('raw data'!C153))</f>
        <v>Bachelor'S Degree</v>
      </c>
      <c r="D153" s="7" t="str">
        <f>PROPER(TRIM('raw data'!D153))</f>
        <v>Standard</v>
      </c>
      <c r="E153" s="7" t="str">
        <f>PROPER(TRIM('raw data'!E153))</f>
        <v>None</v>
      </c>
      <c r="F153" s="8">
        <v>77</v>
      </c>
      <c r="G153" s="8">
        <v>67</v>
      </c>
      <c r="H153" s="8">
        <v>68</v>
      </c>
      <c r="I153">
        <f t="shared" si="6"/>
        <v>212</v>
      </c>
      <c r="J153">
        <f t="shared" si="7"/>
        <v>70.666666666666671</v>
      </c>
      <c r="K153" s="7" t="str">
        <f t="shared" si="8"/>
        <v>pass</v>
      </c>
    </row>
    <row r="154" spans="1:11" x14ac:dyDescent="0.25">
      <c r="A154" t="str">
        <f>PROPER(TRIM('raw data'!A154))</f>
        <v>Female</v>
      </c>
      <c r="B154" t="str">
        <f>PROPER(TRIM('raw data'!B154))</f>
        <v>Group B</v>
      </c>
      <c r="C154" s="7" t="str">
        <f>PROPER(TRIM('raw data'!C154))</f>
        <v>Associate'S Degree</v>
      </c>
      <c r="D154" s="7" t="str">
        <f>PROPER(TRIM('raw data'!D154))</f>
        <v>Standard</v>
      </c>
      <c r="E154" s="7" t="str">
        <f>PROPER(TRIM('raw data'!E154))</f>
        <v>Completed</v>
      </c>
      <c r="F154" s="8">
        <v>59</v>
      </c>
      <c r="G154" s="8">
        <v>70</v>
      </c>
      <c r="H154" s="8">
        <v>66</v>
      </c>
      <c r="I154">
        <f t="shared" si="6"/>
        <v>195</v>
      </c>
      <c r="J154">
        <f t="shared" si="7"/>
        <v>65</v>
      </c>
      <c r="K154" s="7" t="str">
        <f t="shared" si="8"/>
        <v>pass</v>
      </c>
    </row>
    <row r="155" spans="1:11" x14ac:dyDescent="0.25">
      <c r="A155" t="str">
        <f>PROPER(TRIM('raw data'!A155))</f>
        <v>Male</v>
      </c>
      <c r="B155" t="str">
        <f>PROPER(TRIM('raw data'!B155))</f>
        <v>Group D</v>
      </c>
      <c r="C155" s="7" t="str">
        <f>PROPER(TRIM('raw data'!C155))</f>
        <v>Bachelor'S Degree</v>
      </c>
      <c r="D155" s="7" t="str">
        <f>PROPER(TRIM('raw data'!D155))</f>
        <v>Standard</v>
      </c>
      <c r="E155" s="7" t="str">
        <f>PROPER(TRIM('raw data'!E155))</f>
        <v>None</v>
      </c>
      <c r="F155" s="8">
        <v>54</v>
      </c>
      <c r="G155" s="8">
        <v>49</v>
      </c>
      <c r="H155" s="8">
        <v>47</v>
      </c>
      <c r="I155">
        <f t="shared" si="6"/>
        <v>150</v>
      </c>
      <c r="J155">
        <f t="shared" si="7"/>
        <v>50</v>
      </c>
      <c r="K155" s="7" t="str">
        <f t="shared" si="8"/>
        <v>pass</v>
      </c>
    </row>
    <row r="156" spans="1:11" x14ac:dyDescent="0.25">
      <c r="A156" t="str">
        <f>PROPER(TRIM('raw data'!A156))</f>
        <v>Male</v>
      </c>
      <c r="B156" t="str">
        <f>PROPER(TRIM('raw data'!B156))</f>
        <v>Group D</v>
      </c>
      <c r="C156" s="7" t="str">
        <f>PROPER(TRIM('raw data'!C156))</f>
        <v>Some High School</v>
      </c>
      <c r="D156" s="7" t="str">
        <f>PROPER(TRIM('raw data'!D156))</f>
        <v>Standard</v>
      </c>
      <c r="E156" s="7" t="str">
        <f>PROPER(TRIM('raw data'!E156))</f>
        <v>None</v>
      </c>
      <c r="F156" s="8">
        <v>62</v>
      </c>
      <c r="G156" s="8">
        <v>67</v>
      </c>
      <c r="H156" s="8">
        <v>61</v>
      </c>
      <c r="I156">
        <f t="shared" si="6"/>
        <v>190</v>
      </c>
      <c r="J156">
        <f t="shared" si="7"/>
        <v>63.333333333333336</v>
      </c>
      <c r="K156" s="7" t="str">
        <f t="shared" si="8"/>
        <v>pass</v>
      </c>
    </row>
    <row r="157" spans="1:11" x14ac:dyDescent="0.25">
      <c r="A157" t="str">
        <f>PROPER(TRIM('raw data'!A157))</f>
        <v>Female</v>
      </c>
      <c r="B157" t="str">
        <f>PROPER(TRIM('raw data'!B157))</f>
        <v>Group C</v>
      </c>
      <c r="C157" s="7" t="str">
        <f>PROPER(TRIM('raw data'!C157))</f>
        <v>Some College</v>
      </c>
      <c r="D157" s="7" t="str">
        <f>PROPER(TRIM('raw data'!D157))</f>
        <v>Standard</v>
      </c>
      <c r="E157" s="7" t="str">
        <f>PROPER(TRIM('raw data'!E157))</f>
        <v>Completed</v>
      </c>
      <c r="F157" s="8">
        <v>70</v>
      </c>
      <c r="G157" s="8">
        <v>89</v>
      </c>
      <c r="H157" s="8">
        <v>88</v>
      </c>
      <c r="I157">
        <f t="shared" si="6"/>
        <v>247</v>
      </c>
      <c r="J157">
        <f t="shared" si="7"/>
        <v>82.333333333333329</v>
      </c>
      <c r="K157" s="7" t="str">
        <f t="shared" si="8"/>
        <v>pass</v>
      </c>
    </row>
    <row r="158" spans="1:11" x14ac:dyDescent="0.25">
      <c r="A158" t="str">
        <f>PROPER(TRIM('raw data'!A158))</f>
        <v>Female</v>
      </c>
      <c r="B158" t="str">
        <f>PROPER(TRIM('raw data'!B158))</f>
        <v>Group E</v>
      </c>
      <c r="C158" s="7" t="str">
        <f>PROPER(TRIM('raw data'!C158))</f>
        <v>High School</v>
      </c>
      <c r="D158" s="7" t="str">
        <f>PROPER(TRIM('raw data'!D158))</f>
        <v>Free/Reduced</v>
      </c>
      <c r="E158" s="7" t="str">
        <f>PROPER(TRIM('raw data'!E158))</f>
        <v>Completed</v>
      </c>
      <c r="F158" s="8">
        <v>66</v>
      </c>
      <c r="G158" s="8">
        <v>74</v>
      </c>
      <c r="H158" s="8">
        <v>78</v>
      </c>
      <c r="I158">
        <f t="shared" si="6"/>
        <v>218</v>
      </c>
      <c r="J158">
        <f t="shared" si="7"/>
        <v>72.666666666666671</v>
      </c>
      <c r="K158" s="7" t="str">
        <f t="shared" si="8"/>
        <v>pass</v>
      </c>
    </row>
    <row r="159" spans="1:11" x14ac:dyDescent="0.25">
      <c r="A159" t="str">
        <f>PROPER(TRIM('raw data'!A159))</f>
        <v>Male</v>
      </c>
      <c r="B159" t="str">
        <f>PROPER(TRIM('raw data'!B159))</f>
        <v>Group B</v>
      </c>
      <c r="C159" s="7" t="str">
        <f>PROPER(TRIM('raw data'!C159))</f>
        <v>Some College</v>
      </c>
      <c r="D159" s="7" t="str">
        <f>PROPER(TRIM('raw data'!D159))</f>
        <v>Free/Reduced</v>
      </c>
      <c r="E159" s="7" t="str">
        <f>PROPER(TRIM('raw data'!E159))</f>
        <v>None</v>
      </c>
      <c r="F159" s="8">
        <v>60</v>
      </c>
      <c r="G159" s="8">
        <v>60</v>
      </c>
      <c r="H159" s="8">
        <v>60</v>
      </c>
      <c r="I159">
        <f t="shared" si="6"/>
        <v>180</v>
      </c>
      <c r="J159">
        <f t="shared" si="7"/>
        <v>60</v>
      </c>
      <c r="K159" s="7" t="str">
        <f t="shared" si="8"/>
        <v>pass</v>
      </c>
    </row>
    <row r="160" spans="1:11" x14ac:dyDescent="0.25">
      <c r="A160" t="str">
        <f>PROPER(TRIM('raw data'!A160))</f>
        <v>Female</v>
      </c>
      <c r="B160" t="str">
        <f>PROPER(TRIM('raw data'!B160))</f>
        <v>Group B</v>
      </c>
      <c r="C160" s="7" t="str">
        <f>PROPER(TRIM('raw data'!C160))</f>
        <v>Associate'S Degree</v>
      </c>
      <c r="D160" s="7" t="str">
        <f>PROPER(TRIM('raw data'!D160))</f>
        <v>Standard</v>
      </c>
      <c r="E160" s="7" t="str">
        <f>PROPER(TRIM('raw data'!E160))</f>
        <v>Completed</v>
      </c>
      <c r="F160" s="8">
        <v>61</v>
      </c>
      <c r="G160" s="8">
        <v>86</v>
      </c>
      <c r="H160" s="8">
        <v>87</v>
      </c>
      <c r="I160">
        <f t="shared" si="6"/>
        <v>234</v>
      </c>
      <c r="J160">
        <f t="shared" si="7"/>
        <v>78</v>
      </c>
      <c r="K160" s="7" t="str">
        <f t="shared" si="8"/>
        <v>pass</v>
      </c>
    </row>
    <row r="161" spans="1:11" x14ac:dyDescent="0.25">
      <c r="A161" t="str">
        <f>PROPER(TRIM('raw data'!A161))</f>
        <v>Male</v>
      </c>
      <c r="B161" t="str">
        <f>PROPER(TRIM('raw data'!B161))</f>
        <v>Group D</v>
      </c>
      <c r="C161" s="7" t="str">
        <f>PROPER(TRIM('raw data'!C161))</f>
        <v>Associate'S Degree</v>
      </c>
      <c r="D161" s="7" t="str">
        <f>PROPER(TRIM('raw data'!D161))</f>
        <v>Free/Reduced</v>
      </c>
      <c r="E161" s="7" t="str">
        <f>PROPER(TRIM('raw data'!E161))</f>
        <v>None</v>
      </c>
      <c r="F161" s="8">
        <v>66</v>
      </c>
      <c r="G161" s="8">
        <v>62</v>
      </c>
      <c r="H161" s="8">
        <v>64</v>
      </c>
      <c r="I161">
        <f t="shared" si="6"/>
        <v>192</v>
      </c>
      <c r="J161">
        <f t="shared" si="7"/>
        <v>64</v>
      </c>
      <c r="K161" s="7" t="str">
        <f t="shared" si="8"/>
        <v>pass</v>
      </c>
    </row>
    <row r="162" spans="1:11" x14ac:dyDescent="0.25">
      <c r="A162" t="str">
        <f>PROPER(TRIM('raw data'!A162))</f>
        <v>Male</v>
      </c>
      <c r="B162" t="str">
        <f>PROPER(TRIM('raw data'!B162))</f>
        <v>Group B</v>
      </c>
      <c r="C162" s="7" t="str">
        <f>PROPER(TRIM('raw data'!C162))</f>
        <v>Associate'S Degree</v>
      </c>
      <c r="D162" s="7" t="str">
        <f>PROPER(TRIM('raw data'!D162))</f>
        <v>Free/Reduced</v>
      </c>
      <c r="E162" s="7" t="str">
        <f>PROPER(TRIM('raw data'!E162))</f>
        <v>Completed</v>
      </c>
      <c r="F162" s="8">
        <v>82</v>
      </c>
      <c r="G162" s="8">
        <v>78</v>
      </c>
      <c r="H162" s="8">
        <v>74</v>
      </c>
      <c r="I162">
        <f t="shared" si="6"/>
        <v>234</v>
      </c>
      <c r="J162">
        <f t="shared" si="7"/>
        <v>78</v>
      </c>
      <c r="K162" s="7" t="str">
        <f t="shared" si="8"/>
        <v>pass</v>
      </c>
    </row>
    <row r="163" spans="1:11" x14ac:dyDescent="0.25">
      <c r="A163" t="str">
        <f>PROPER(TRIM('raw data'!A163))</f>
        <v>Female</v>
      </c>
      <c r="B163" t="str">
        <f>PROPER(TRIM('raw data'!B163))</f>
        <v>Group E</v>
      </c>
      <c r="C163" s="7" t="str">
        <f>PROPER(TRIM('raw data'!C163))</f>
        <v>Some College</v>
      </c>
      <c r="D163" s="7" t="str">
        <f>PROPER(TRIM('raw data'!D163))</f>
        <v>Free/Reduced</v>
      </c>
      <c r="E163" s="7" t="str">
        <f>PROPER(TRIM('raw data'!E163))</f>
        <v>Completed</v>
      </c>
      <c r="F163" s="8">
        <v>75</v>
      </c>
      <c r="G163" s="8">
        <v>88</v>
      </c>
      <c r="H163" s="8">
        <v>85</v>
      </c>
      <c r="I163">
        <f t="shared" si="6"/>
        <v>248</v>
      </c>
      <c r="J163">
        <f t="shared" si="7"/>
        <v>82.666666666666671</v>
      </c>
      <c r="K163" s="7" t="str">
        <f t="shared" si="8"/>
        <v>pass</v>
      </c>
    </row>
    <row r="164" spans="1:11" x14ac:dyDescent="0.25">
      <c r="A164" t="str">
        <f>PROPER(TRIM('raw data'!A164))</f>
        <v>Male</v>
      </c>
      <c r="B164" t="str">
        <f>PROPER(TRIM('raw data'!B164))</f>
        <v>Group B</v>
      </c>
      <c r="C164" s="7" t="str">
        <f>PROPER(TRIM('raw data'!C164))</f>
        <v>Master'S Degree</v>
      </c>
      <c r="D164" s="7" t="str">
        <f>PROPER(TRIM('raw data'!D164))</f>
        <v>Free/Reduced</v>
      </c>
      <c r="E164" s="7" t="str">
        <f>PROPER(TRIM('raw data'!E164))</f>
        <v>None</v>
      </c>
      <c r="F164" s="8">
        <v>49</v>
      </c>
      <c r="G164" s="8">
        <v>53</v>
      </c>
      <c r="H164" s="8">
        <v>52</v>
      </c>
      <c r="I164">
        <f t="shared" si="6"/>
        <v>154</v>
      </c>
      <c r="J164">
        <f t="shared" si="7"/>
        <v>51.333333333333336</v>
      </c>
      <c r="K164" s="7" t="str">
        <f t="shared" si="8"/>
        <v>pass</v>
      </c>
    </row>
    <row r="165" spans="1:11" x14ac:dyDescent="0.25">
      <c r="A165" t="str">
        <f>PROPER(TRIM('raw data'!A165))</f>
        <v>Male</v>
      </c>
      <c r="B165" t="str">
        <f>PROPER(TRIM('raw data'!B165))</f>
        <v>Group C</v>
      </c>
      <c r="C165" s="7" t="str">
        <f>PROPER(TRIM('raw data'!C165))</f>
        <v>High School</v>
      </c>
      <c r="D165" s="7" t="str">
        <f>PROPER(TRIM('raw data'!D165))</f>
        <v>Standard</v>
      </c>
      <c r="E165" s="7" t="str">
        <f>PROPER(TRIM('raw data'!E165))</f>
        <v>None</v>
      </c>
      <c r="F165" s="8">
        <v>52</v>
      </c>
      <c r="G165" s="8">
        <v>53</v>
      </c>
      <c r="H165" s="8">
        <v>49</v>
      </c>
      <c r="I165">
        <f t="shared" si="6"/>
        <v>154</v>
      </c>
      <c r="J165">
        <f t="shared" si="7"/>
        <v>51.333333333333336</v>
      </c>
      <c r="K165" s="7" t="str">
        <f t="shared" si="8"/>
        <v>pass</v>
      </c>
    </row>
    <row r="166" spans="1:11" x14ac:dyDescent="0.25">
      <c r="A166" t="str">
        <f>PROPER(TRIM('raw data'!A166))</f>
        <v>Female</v>
      </c>
      <c r="B166" t="str">
        <f>PROPER(TRIM('raw data'!B166))</f>
        <v>Group E</v>
      </c>
      <c r="C166" s="7" t="str">
        <f>PROPER(TRIM('raw data'!C166))</f>
        <v>Master'S Degree</v>
      </c>
      <c r="D166" s="7" t="str">
        <f>PROPER(TRIM('raw data'!D166))</f>
        <v>Standard</v>
      </c>
      <c r="E166" s="7" t="str">
        <f>PROPER(TRIM('raw data'!E166))</f>
        <v>None</v>
      </c>
      <c r="F166" s="8">
        <v>81</v>
      </c>
      <c r="G166" s="8">
        <v>92</v>
      </c>
      <c r="H166" s="8">
        <v>91</v>
      </c>
      <c r="I166">
        <f t="shared" si="6"/>
        <v>264</v>
      </c>
      <c r="J166">
        <f t="shared" si="7"/>
        <v>88</v>
      </c>
      <c r="K166" s="7" t="str">
        <f t="shared" si="8"/>
        <v>pass</v>
      </c>
    </row>
    <row r="167" spans="1:11" x14ac:dyDescent="0.25">
      <c r="A167" t="str">
        <f>PROPER(TRIM('raw data'!A167))</f>
        <v>Female</v>
      </c>
      <c r="B167" t="str">
        <f>PROPER(TRIM('raw data'!B167))</f>
        <v>Group C</v>
      </c>
      <c r="C167" s="7" t="str">
        <f>PROPER(TRIM('raw data'!C167))</f>
        <v>Bachelor'S Degree</v>
      </c>
      <c r="D167" s="7" t="str">
        <f>PROPER(TRIM('raw data'!D167))</f>
        <v>Standard</v>
      </c>
      <c r="E167" s="7" t="str">
        <f>PROPER(TRIM('raw data'!E167))</f>
        <v>Completed</v>
      </c>
      <c r="F167" s="8">
        <v>96</v>
      </c>
      <c r="G167" s="8">
        <v>100</v>
      </c>
      <c r="H167" s="8">
        <v>100</v>
      </c>
      <c r="I167">
        <f t="shared" si="6"/>
        <v>296</v>
      </c>
      <c r="J167">
        <f t="shared" si="7"/>
        <v>98.666666666666671</v>
      </c>
      <c r="K167" s="7" t="str">
        <f t="shared" si="8"/>
        <v>pass</v>
      </c>
    </row>
    <row r="168" spans="1:11" x14ac:dyDescent="0.25">
      <c r="A168" t="str">
        <f>PROPER(TRIM('raw data'!A168))</f>
        <v>Male</v>
      </c>
      <c r="B168" t="str">
        <f>PROPER(TRIM('raw data'!B168))</f>
        <v>Group C</v>
      </c>
      <c r="C168" s="7" t="str">
        <f>PROPER(TRIM('raw data'!C168))</f>
        <v>High School</v>
      </c>
      <c r="D168" s="7" t="str">
        <f>PROPER(TRIM('raw data'!D168))</f>
        <v>Free/Reduced</v>
      </c>
      <c r="E168" s="7" t="str">
        <f>PROPER(TRIM('raw data'!E168))</f>
        <v>Completed</v>
      </c>
      <c r="F168" s="8">
        <v>53</v>
      </c>
      <c r="G168" s="8">
        <v>51</v>
      </c>
      <c r="H168" s="8">
        <v>51</v>
      </c>
      <c r="I168">
        <f t="shared" si="6"/>
        <v>155</v>
      </c>
      <c r="J168">
        <f t="shared" si="7"/>
        <v>51.666666666666664</v>
      </c>
      <c r="K168" s="7" t="str">
        <f t="shared" si="8"/>
        <v>pass</v>
      </c>
    </row>
    <row r="169" spans="1:11" x14ac:dyDescent="0.25">
      <c r="A169" t="str">
        <f>PROPER(TRIM('raw data'!A169))</f>
        <v>Female</v>
      </c>
      <c r="B169" t="str">
        <f>PROPER(TRIM('raw data'!B169))</f>
        <v>Group B</v>
      </c>
      <c r="C169" s="7" t="str">
        <f>PROPER(TRIM('raw data'!C169))</f>
        <v>Master'S Degree</v>
      </c>
      <c r="D169" s="7" t="str">
        <f>PROPER(TRIM('raw data'!D169))</f>
        <v>Free/Reduced</v>
      </c>
      <c r="E169" s="7" t="str">
        <f>PROPER(TRIM('raw data'!E169))</f>
        <v>Completed</v>
      </c>
      <c r="F169" s="8">
        <v>58</v>
      </c>
      <c r="G169" s="8">
        <v>76</v>
      </c>
      <c r="H169" s="8">
        <v>78</v>
      </c>
      <c r="I169">
        <f t="shared" si="6"/>
        <v>212</v>
      </c>
      <c r="J169">
        <f t="shared" si="7"/>
        <v>70.666666666666671</v>
      </c>
      <c r="K169" s="7" t="str">
        <f t="shared" si="8"/>
        <v>pass</v>
      </c>
    </row>
    <row r="170" spans="1:11" x14ac:dyDescent="0.25">
      <c r="A170" t="str">
        <f>PROPER(TRIM('raw data'!A170))</f>
        <v>Female</v>
      </c>
      <c r="B170" t="str">
        <f>PROPER(TRIM('raw data'!B170))</f>
        <v>Group B</v>
      </c>
      <c r="C170" s="7" t="str">
        <f>PROPER(TRIM('raw data'!C170))</f>
        <v>High School</v>
      </c>
      <c r="D170" s="7" t="str">
        <f>PROPER(TRIM('raw data'!D170))</f>
        <v>Standard</v>
      </c>
      <c r="E170" s="7" t="str">
        <f>PROPER(TRIM('raw data'!E170))</f>
        <v>Completed</v>
      </c>
      <c r="F170" s="8">
        <v>68</v>
      </c>
      <c r="G170" s="8">
        <v>83</v>
      </c>
      <c r="H170" s="8">
        <v>78</v>
      </c>
      <c r="I170">
        <f t="shared" si="6"/>
        <v>229</v>
      </c>
      <c r="J170">
        <f t="shared" si="7"/>
        <v>76.333333333333329</v>
      </c>
      <c r="K170" s="7" t="str">
        <f t="shared" si="8"/>
        <v>pass</v>
      </c>
    </row>
    <row r="171" spans="1:11" x14ac:dyDescent="0.25">
      <c r="A171" t="str">
        <f>PROPER(TRIM('raw data'!A171))</f>
        <v>Female</v>
      </c>
      <c r="B171" t="str">
        <f>PROPER(TRIM('raw data'!B171))</f>
        <v>Group C</v>
      </c>
      <c r="C171" s="7" t="str">
        <f>PROPER(TRIM('raw data'!C171))</f>
        <v>Some College</v>
      </c>
      <c r="D171" s="7" t="str">
        <f>PROPER(TRIM('raw data'!D171))</f>
        <v>Free/Reduced</v>
      </c>
      <c r="E171" s="7" t="str">
        <f>PROPER(TRIM('raw data'!E171))</f>
        <v>Completed</v>
      </c>
      <c r="F171" s="8">
        <v>67</v>
      </c>
      <c r="G171" s="8">
        <v>75</v>
      </c>
      <c r="H171" s="8">
        <v>70</v>
      </c>
      <c r="I171">
        <f t="shared" si="6"/>
        <v>212</v>
      </c>
      <c r="J171">
        <f t="shared" si="7"/>
        <v>70.666666666666671</v>
      </c>
      <c r="K171" s="7" t="str">
        <f t="shared" si="8"/>
        <v>pass</v>
      </c>
    </row>
    <row r="172" spans="1:11" x14ac:dyDescent="0.25">
      <c r="A172" t="str">
        <f>PROPER(TRIM('raw data'!A172))</f>
        <v>Male</v>
      </c>
      <c r="B172" t="str">
        <f>PROPER(TRIM('raw data'!B172))</f>
        <v>Group A</v>
      </c>
      <c r="C172" s="7" t="str">
        <f>PROPER(TRIM('raw data'!C172))</f>
        <v>High School</v>
      </c>
      <c r="D172" s="7" t="str">
        <f>PROPER(TRIM('raw data'!D172))</f>
        <v>Standard</v>
      </c>
      <c r="E172" s="7" t="str">
        <f>PROPER(TRIM('raw data'!E172))</f>
        <v>Completed</v>
      </c>
      <c r="F172" s="8">
        <v>72</v>
      </c>
      <c r="G172" s="8">
        <v>73</v>
      </c>
      <c r="H172" s="8">
        <v>74</v>
      </c>
      <c r="I172">
        <f t="shared" si="6"/>
        <v>219</v>
      </c>
      <c r="J172">
        <f t="shared" si="7"/>
        <v>73</v>
      </c>
      <c r="K172" s="7" t="str">
        <f t="shared" si="8"/>
        <v>pass</v>
      </c>
    </row>
    <row r="173" spans="1:11" x14ac:dyDescent="0.25">
      <c r="A173" t="str">
        <f>PROPER(TRIM('raw data'!A173))</f>
        <v>Male</v>
      </c>
      <c r="B173" t="str">
        <f>PROPER(TRIM('raw data'!B173))</f>
        <v>Group E</v>
      </c>
      <c r="C173" s="7" t="str">
        <f>PROPER(TRIM('raw data'!C173))</f>
        <v>Some High School</v>
      </c>
      <c r="D173" s="7" t="str">
        <f>PROPER(TRIM('raw data'!D173))</f>
        <v>Standard</v>
      </c>
      <c r="E173" s="7" t="str">
        <f>PROPER(TRIM('raw data'!E173))</f>
        <v>None</v>
      </c>
      <c r="F173" s="8">
        <v>94</v>
      </c>
      <c r="G173" s="8">
        <v>88</v>
      </c>
      <c r="H173" s="8">
        <v>78</v>
      </c>
      <c r="I173">
        <f t="shared" si="6"/>
        <v>260</v>
      </c>
      <c r="J173">
        <f t="shared" si="7"/>
        <v>86.666666666666671</v>
      </c>
      <c r="K173" s="7" t="str">
        <f t="shared" si="8"/>
        <v>pass</v>
      </c>
    </row>
    <row r="174" spans="1:11" x14ac:dyDescent="0.25">
      <c r="A174" t="str">
        <f>PROPER(TRIM('raw data'!A174))</f>
        <v>Female</v>
      </c>
      <c r="B174" t="str">
        <f>PROPER(TRIM('raw data'!B174))</f>
        <v>Group D</v>
      </c>
      <c r="C174" s="7" t="str">
        <f>PROPER(TRIM('raw data'!C174))</f>
        <v>Some College</v>
      </c>
      <c r="D174" s="7" t="str">
        <f>PROPER(TRIM('raw data'!D174))</f>
        <v>Standard</v>
      </c>
      <c r="E174" s="7" t="str">
        <f>PROPER(TRIM('raw data'!E174))</f>
        <v>None</v>
      </c>
      <c r="F174" s="8">
        <v>79</v>
      </c>
      <c r="G174" s="8">
        <v>86</v>
      </c>
      <c r="H174" s="8">
        <v>81</v>
      </c>
      <c r="I174">
        <f t="shared" si="6"/>
        <v>246</v>
      </c>
      <c r="J174">
        <f t="shared" si="7"/>
        <v>82</v>
      </c>
      <c r="K174" s="7" t="str">
        <f t="shared" si="8"/>
        <v>pass</v>
      </c>
    </row>
    <row r="175" spans="1:11" x14ac:dyDescent="0.25">
      <c r="A175" t="str">
        <f>PROPER(TRIM('raw data'!A175))</f>
        <v>Female</v>
      </c>
      <c r="B175" t="str">
        <f>PROPER(TRIM('raw data'!B175))</f>
        <v>Group C</v>
      </c>
      <c r="C175" s="7" t="str">
        <f>PROPER(TRIM('raw data'!C175))</f>
        <v>Associate'S Degree</v>
      </c>
      <c r="D175" s="7" t="str">
        <f>PROPER(TRIM('raw data'!D175))</f>
        <v>Standard</v>
      </c>
      <c r="E175" s="7" t="str">
        <f>PROPER(TRIM('raw data'!E175))</f>
        <v>None</v>
      </c>
      <c r="F175" s="8">
        <v>63</v>
      </c>
      <c r="G175" s="8">
        <v>67</v>
      </c>
      <c r="H175" s="8">
        <v>70</v>
      </c>
      <c r="I175">
        <f t="shared" si="6"/>
        <v>200</v>
      </c>
      <c r="J175">
        <f t="shared" si="7"/>
        <v>66.666666666666671</v>
      </c>
      <c r="K175" s="7" t="str">
        <f t="shared" si="8"/>
        <v>pass</v>
      </c>
    </row>
    <row r="176" spans="1:11" x14ac:dyDescent="0.25">
      <c r="A176" t="str">
        <f>PROPER(TRIM('raw data'!A176))</f>
        <v>Female</v>
      </c>
      <c r="B176" t="str">
        <f>PROPER(TRIM('raw data'!B176))</f>
        <v>Group C</v>
      </c>
      <c r="C176" s="7" t="str">
        <f>PROPER(TRIM('raw data'!C176))</f>
        <v>Bachelor'S Degree</v>
      </c>
      <c r="D176" s="7" t="str">
        <f>PROPER(TRIM('raw data'!D176))</f>
        <v>Free/Reduced</v>
      </c>
      <c r="E176" s="7" t="str">
        <f>PROPER(TRIM('raw data'!E176))</f>
        <v>Completed</v>
      </c>
      <c r="F176" s="8">
        <v>43</v>
      </c>
      <c r="G176" s="8">
        <v>51</v>
      </c>
      <c r="H176" s="8">
        <v>54</v>
      </c>
      <c r="I176">
        <f t="shared" si="6"/>
        <v>148</v>
      </c>
      <c r="J176">
        <f t="shared" si="7"/>
        <v>49.333333333333336</v>
      </c>
      <c r="K176" s="7" t="str">
        <f t="shared" si="8"/>
        <v>pass</v>
      </c>
    </row>
    <row r="177" spans="1:11" x14ac:dyDescent="0.25">
      <c r="A177" t="str">
        <f>PROPER(TRIM('raw data'!A177))</f>
        <v>Female</v>
      </c>
      <c r="B177" t="str">
        <f>PROPER(TRIM('raw data'!B177))</f>
        <v>Group C</v>
      </c>
      <c r="C177" s="7" t="str">
        <f>PROPER(TRIM('raw data'!C177))</f>
        <v>Master'S Degree</v>
      </c>
      <c r="D177" s="7" t="str">
        <f>PROPER(TRIM('raw data'!D177))</f>
        <v>Standard</v>
      </c>
      <c r="E177" s="7" t="str">
        <f>PROPER(TRIM('raw data'!E177))</f>
        <v>Completed</v>
      </c>
      <c r="F177" s="8">
        <v>81</v>
      </c>
      <c r="G177" s="8">
        <v>91</v>
      </c>
      <c r="H177" s="8">
        <v>87</v>
      </c>
      <c r="I177">
        <f t="shared" si="6"/>
        <v>259</v>
      </c>
      <c r="J177">
        <f t="shared" si="7"/>
        <v>86.333333333333329</v>
      </c>
      <c r="K177" s="7" t="str">
        <f t="shared" si="8"/>
        <v>pass</v>
      </c>
    </row>
    <row r="178" spans="1:11" x14ac:dyDescent="0.25">
      <c r="A178" t="str">
        <f>PROPER(TRIM('raw data'!A178))</f>
        <v>Female</v>
      </c>
      <c r="B178" t="str">
        <f>PROPER(TRIM('raw data'!B178))</f>
        <v>Group B</v>
      </c>
      <c r="C178" s="7" t="str">
        <f>PROPER(TRIM('raw data'!C178))</f>
        <v>High School</v>
      </c>
      <c r="D178" s="7" t="str">
        <f>PROPER(TRIM('raw data'!D178))</f>
        <v>Free/Reduced</v>
      </c>
      <c r="E178" s="7" t="str">
        <f>PROPER(TRIM('raw data'!E178))</f>
        <v>Completed</v>
      </c>
      <c r="F178" s="8">
        <v>46</v>
      </c>
      <c r="G178" s="8">
        <v>54</v>
      </c>
      <c r="H178" s="8">
        <v>58</v>
      </c>
      <c r="I178">
        <f t="shared" si="6"/>
        <v>158</v>
      </c>
      <c r="J178">
        <f t="shared" si="7"/>
        <v>52.666666666666664</v>
      </c>
      <c r="K178" s="7" t="str">
        <f t="shared" si="8"/>
        <v>pass</v>
      </c>
    </row>
    <row r="179" spans="1:11" x14ac:dyDescent="0.25">
      <c r="A179" t="str">
        <f>PROPER(TRIM('raw data'!A179))</f>
        <v>Female</v>
      </c>
      <c r="B179" t="str">
        <f>PROPER(TRIM('raw data'!B179))</f>
        <v>Group C</v>
      </c>
      <c r="C179" s="7" t="str">
        <f>PROPER(TRIM('raw data'!C179))</f>
        <v>Associate'S Degree</v>
      </c>
      <c r="D179" s="7" t="str">
        <f>PROPER(TRIM('raw data'!D179))</f>
        <v>Standard</v>
      </c>
      <c r="E179" s="7" t="str">
        <f>PROPER(TRIM('raw data'!E179))</f>
        <v>Completed</v>
      </c>
      <c r="F179" s="8">
        <v>71</v>
      </c>
      <c r="G179" s="8">
        <v>77</v>
      </c>
      <c r="H179" s="8">
        <v>77</v>
      </c>
      <c r="I179">
        <f t="shared" si="6"/>
        <v>225</v>
      </c>
      <c r="J179">
        <f t="shared" si="7"/>
        <v>75</v>
      </c>
      <c r="K179" s="7" t="str">
        <f t="shared" si="8"/>
        <v>pass</v>
      </c>
    </row>
    <row r="180" spans="1:11" x14ac:dyDescent="0.25">
      <c r="A180" t="str">
        <f>PROPER(TRIM('raw data'!A180))</f>
        <v>Female</v>
      </c>
      <c r="B180" t="str">
        <f>PROPER(TRIM('raw data'!B180))</f>
        <v>Group B</v>
      </c>
      <c r="C180" s="7" t="str">
        <f>PROPER(TRIM('raw data'!C180))</f>
        <v>Master'S Degree</v>
      </c>
      <c r="D180" s="7" t="str">
        <f>PROPER(TRIM('raw data'!D180))</f>
        <v>Free/Reduced</v>
      </c>
      <c r="E180" s="7" t="str">
        <f>PROPER(TRIM('raw data'!E180))</f>
        <v>Completed</v>
      </c>
      <c r="F180" s="8">
        <v>52</v>
      </c>
      <c r="G180" s="8">
        <v>70</v>
      </c>
      <c r="H180" s="8">
        <v>62</v>
      </c>
      <c r="I180">
        <f t="shared" si="6"/>
        <v>184</v>
      </c>
      <c r="J180">
        <f t="shared" si="7"/>
        <v>61.333333333333336</v>
      </c>
      <c r="K180" s="7" t="str">
        <f t="shared" si="8"/>
        <v>pass</v>
      </c>
    </row>
    <row r="181" spans="1:11" x14ac:dyDescent="0.25">
      <c r="A181" t="str">
        <f>PROPER(TRIM('raw data'!A181))</f>
        <v>Female</v>
      </c>
      <c r="B181" t="str">
        <f>PROPER(TRIM('raw data'!B181))</f>
        <v>Group D</v>
      </c>
      <c r="C181" s="7" t="str">
        <f>PROPER(TRIM('raw data'!C181))</f>
        <v>Some High School</v>
      </c>
      <c r="D181" s="7" t="str">
        <f>PROPER(TRIM('raw data'!D181))</f>
        <v>Standard</v>
      </c>
      <c r="E181" s="7" t="str">
        <f>PROPER(TRIM('raw data'!E181))</f>
        <v>Completed</v>
      </c>
      <c r="F181" s="8">
        <v>97</v>
      </c>
      <c r="G181" s="8">
        <v>100</v>
      </c>
      <c r="H181" s="8">
        <v>100</v>
      </c>
      <c r="I181">
        <f t="shared" si="6"/>
        <v>297</v>
      </c>
      <c r="J181">
        <f t="shared" si="7"/>
        <v>99</v>
      </c>
      <c r="K181" s="7" t="str">
        <f t="shared" si="8"/>
        <v>pass</v>
      </c>
    </row>
    <row r="182" spans="1:11" x14ac:dyDescent="0.25">
      <c r="A182" t="str">
        <f>PROPER(TRIM('raw data'!A182))</f>
        <v>Male</v>
      </c>
      <c r="B182" t="str">
        <f>PROPER(TRIM('raw data'!B182))</f>
        <v>Group C</v>
      </c>
      <c r="C182" s="7" t="str">
        <f>PROPER(TRIM('raw data'!C182))</f>
        <v>Master'S Degree</v>
      </c>
      <c r="D182" s="7" t="str">
        <f>PROPER(TRIM('raw data'!D182))</f>
        <v>Free/Reduced</v>
      </c>
      <c r="E182" s="7" t="str">
        <f>PROPER(TRIM('raw data'!E182))</f>
        <v>Completed</v>
      </c>
      <c r="F182" s="8">
        <v>62</v>
      </c>
      <c r="G182" s="8">
        <v>68</v>
      </c>
      <c r="H182" s="8">
        <v>75</v>
      </c>
      <c r="I182">
        <f t="shared" si="6"/>
        <v>205</v>
      </c>
      <c r="J182">
        <f t="shared" si="7"/>
        <v>68.333333333333329</v>
      </c>
      <c r="K182" s="7" t="str">
        <f t="shared" si="8"/>
        <v>pass</v>
      </c>
    </row>
    <row r="183" spans="1:11" x14ac:dyDescent="0.25">
      <c r="A183" t="str">
        <f>PROPER(TRIM('raw data'!A183))</f>
        <v>Female</v>
      </c>
      <c r="B183" t="str">
        <f>PROPER(TRIM('raw data'!B183))</f>
        <v>Group C</v>
      </c>
      <c r="C183" s="7" t="str">
        <f>PROPER(TRIM('raw data'!C183))</f>
        <v>Some College</v>
      </c>
      <c r="D183" s="7" t="str">
        <f>PROPER(TRIM('raw data'!D183))</f>
        <v>Free/Reduced</v>
      </c>
      <c r="E183" s="7" t="str">
        <f>PROPER(TRIM('raw data'!E183))</f>
        <v>None</v>
      </c>
      <c r="F183" s="8">
        <v>46</v>
      </c>
      <c r="G183" s="8">
        <v>64</v>
      </c>
      <c r="H183" s="8">
        <v>66</v>
      </c>
      <c r="I183">
        <f t="shared" si="6"/>
        <v>176</v>
      </c>
      <c r="J183">
        <f t="shared" si="7"/>
        <v>58.666666666666664</v>
      </c>
      <c r="K183" s="7" t="str">
        <f t="shared" si="8"/>
        <v>pass</v>
      </c>
    </row>
    <row r="184" spans="1:11" x14ac:dyDescent="0.25">
      <c r="A184" t="str">
        <f>PROPER(TRIM('raw data'!A184))</f>
        <v>Female</v>
      </c>
      <c r="B184" t="str">
        <f>PROPER(TRIM('raw data'!B184))</f>
        <v>Group E</v>
      </c>
      <c r="C184" s="7" t="str">
        <f>PROPER(TRIM('raw data'!C184))</f>
        <v>High School</v>
      </c>
      <c r="D184" s="7" t="str">
        <f>PROPER(TRIM('raw data'!D184))</f>
        <v>Standard</v>
      </c>
      <c r="E184" s="7" t="str">
        <f>PROPER(TRIM('raw data'!E184))</f>
        <v>None</v>
      </c>
      <c r="F184" s="8">
        <v>50</v>
      </c>
      <c r="G184" s="8">
        <v>50</v>
      </c>
      <c r="H184" s="8">
        <v>47</v>
      </c>
      <c r="I184">
        <f t="shared" si="6"/>
        <v>147</v>
      </c>
      <c r="J184">
        <f t="shared" si="7"/>
        <v>49</v>
      </c>
      <c r="K184" s="7" t="str">
        <f t="shared" si="8"/>
        <v>pass</v>
      </c>
    </row>
    <row r="185" spans="1:11" x14ac:dyDescent="0.25">
      <c r="A185" t="str">
        <f>PROPER(TRIM('raw data'!A185))</f>
        <v>Female</v>
      </c>
      <c r="B185" t="str">
        <f>PROPER(TRIM('raw data'!B185))</f>
        <v>Group D</v>
      </c>
      <c r="C185" s="7" t="str">
        <f>PROPER(TRIM('raw data'!C185))</f>
        <v>Associate'S Degree</v>
      </c>
      <c r="D185" s="7" t="str">
        <f>PROPER(TRIM('raw data'!D185))</f>
        <v>Standard</v>
      </c>
      <c r="E185" s="7" t="str">
        <f>PROPER(TRIM('raw data'!E185))</f>
        <v>None</v>
      </c>
      <c r="F185" s="8">
        <v>65</v>
      </c>
      <c r="G185" s="8">
        <v>69</v>
      </c>
      <c r="H185" s="8">
        <v>70</v>
      </c>
      <c r="I185">
        <f t="shared" si="6"/>
        <v>204</v>
      </c>
      <c r="J185">
        <f t="shared" si="7"/>
        <v>68</v>
      </c>
      <c r="K185" s="7" t="str">
        <f t="shared" si="8"/>
        <v>pass</v>
      </c>
    </row>
    <row r="186" spans="1:11" x14ac:dyDescent="0.25">
      <c r="A186" t="str">
        <f>PROPER(TRIM('raw data'!A186))</f>
        <v>Male</v>
      </c>
      <c r="B186" t="str">
        <f>PROPER(TRIM('raw data'!B186))</f>
        <v>Group C</v>
      </c>
      <c r="C186" s="7" t="str">
        <f>PROPER(TRIM('raw data'!C186))</f>
        <v>Some High School</v>
      </c>
      <c r="D186" s="7" t="str">
        <f>PROPER(TRIM('raw data'!D186))</f>
        <v>Free/Reduced</v>
      </c>
      <c r="E186" s="7" t="str">
        <f>PROPER(TRIM('raw data'!E186))</f>
        <v>Completed</v>
      </c>
      <c r="F186" s="8">
        <v>45</v>
      </c>
      <c r="G186" s="8">
        <v>52</v>
      </c>
      <c r="H186" s="8">
        <v>49</v>
      </c>
      <c r="I186">
        <f t="shared" si="6"/>
        <v>146</v>
      </c>
      <c r="J186">
        <f t="shared" si="7"/>
        <v>48.666666666666664</v>
      </c>
      <c r="K186" s="7" t="str">
        <f t="shared" si="8"/>
        <v>pass</v>
      </c>
    </row>
    <row r="187" spans="1:11" x14ac:dyDescent="0.25">
      <c r="A187" t="str">
        <f>PROPER(TRIM('raw data'!A187))</f>
        <v>Male</v>
      </c>
      <c r="B187" t="str">
        <f>PROPER(TRIM('raw data'!B187))</f>
        <v>Group C</v>
      </c>
      <c r="C187" s="7" t="str">
        <f>PROPER(TRIM('raw data'!C187))</f>
        <v>Associate'S Degree</v>
      </c>
      <c r="D187" s="7" t="str">
        <f>PROPER(TRIM('raw data'!D187))</f>
        <v>Free/Reduced</v>
      </c>
      <c r="E187" s="7" t="str">
        <f>PROPER(TRIM('raw data'!E187))</f>
        <v>Completed</v>
      </c>
      <c r="F187" s="8">
        <v>65</v>
      </c>
      <c r="G187" s="8">
        <v>67</v>
      </c>
      <c r="H187" s="8">
        <v>65</v>
      </c>
      <c r="I187">
        <f t="shared" si="6"/>
        <v>197</v>
      </c>
      <c r="J187">
        <f t="shared" si="7"/>
        <v>65.666666666666671</v>
      </c>
      <c r="K187" s="7" t="str">
        <f t="shared" si="8"/>
        <v>pass</v>
      </c>
    </row>
    <row r="188" spans="1:11" x14ac:dyDescent="0.25">
      <c r="A188" t="str">
        <f>PROPER(TRIM('raw data'!A188))</f>
        <v>Male</v>
      </c>
      <c r="B188" t="str">
        <f>PROPER(TRIM('raw data'!B188))</f>
        <v>Group E</v>
      </c>
      <c r="C188" s="7" t="str">
        <f>PROPER(TRIM('raw data'!C188))</f>
        <v>High School</v>
      </c>
      <c r="D188" s="7" t="str">
        <f>PROPER(TRIM('raw data'!D188))</f>
        <v>Standard</v>
      </c>
      <c r="E188" s="7" t="str">
        <f>PROPER(TRIM('raw data'!E188))</f>
        <v>None</v>
      </c>
      <c r="F188" s="8">
        <v>80</v>
      </c>
      <c r="G188" s="8">
        <v>76</v>
      </c>
      <c r="H188" s="8">
        <v>65</v>
      </c>
      <c r="I188">
        <f t="shared" si="6"/>
        <v>221</v>
      </c>
      <c r="J188">
        <f t="shared" si="7"/>
        <v>73.666666666666671</v>
      </c>
      <c r="K188" s="7" t="str">
        <f t="shared" si="8"/>
        <v>pass</v>
      </c>
    </row>
    <row r="189" spans="1:11" x14ac:dyDescent="0.25">
      <c r="A189" t="str">
        <f>PROPER(TRIM('raw data'!A189))</f>
        <v>Male</v>
      </c>
      <c r="B189" t="str">
        <f>PROPER(TRIM('raw data'!B189))</f>
        <v>Group D</v>
      </c>
      <c r="C189" s="7" t="str">
        <f>PROPER(TRIM('raw data'!C189))</f>
        <v>Some High School</v>
      </c>
      <c r="D189" s="7" t="str">
        <f>PROPER(TRIM('raw data'!D189))</f>
        <v>Standard</v>
      </c>
      <c r="E189" s="7" t="str">
        <f>PROPER(TRIM('raw data'!E189))</f>
        <v>Completed</v>
      </c>
      <c r="F189" s="8">
        <v>62</v>
      </c>
      <c r="G189" s="8">
        <v>66</v>
      </c>
      <c r="H189" s="8">
        <v>68</v>
      </c>
      <c r="I189">
        <f t="shared" si="6"/>
        <v>196</v>
      </c>
      <c r="J189">
        <f t="shared" si="7"/>
        <v>65.333333333333329</v>
      </c>
      <c r="K189" s="7" t="str">
        <f t="shared" si="8"/>
        <v>pass</v>
      </c>
    </row>
    <row r="190" spans="1:11" x14ac:dyDescent="0.25">
      <c r="A190" t="str">
        <f>PROPER(TRIM('raw data'!A190))</f>
        <v>Male</v>
      </c>
      <c r="B190" t="str">
        <f>PROPER(TRIM('raw data'!B190))</f>
        <v>Group B</v>
      </c>
      <c r="C190" s="7" t="str">
        <f>PROPER(TRIM('raw data'!C190))</f>
        <v>Some High School</v>
      </c>
      <c r="D190" s="7" t="str">
        <f>PROPER(TRIM('raw data'!D190))</f>
        <v>Free/Reduced</v>
      </c>
      <c r="E190" s="7" t="str">
        <f>PROPER(TRIM('raw data'!E190))</f>
        <v>None</v>
      </c>
      <c r="F190" s="8">
        <v>48</v>
      </c>
      <c r="G190" s="8">
        <v>52</v>
      </c>
      <c r="H190" s="8">
        <v>45</v>
      </c>
      <c r="I190">
        <f t="shared" si="6"/>
        <v>145</v>
      </c>
      <c r="J190">
        <f t="shared" si="7"/>
        <v>48.333333333333336</v>
      </c>
      <c r="K190" s="7" t="str">
        <f t="shared" si="8"/>
        <v>pass</v>
      </c>
    </row>
    <row r="191" spans="1:11" x14ac:dyDescent="0.25">
      <c r="A191" t="str">
        <f>PROPER(TRIM('raw data'!A191))</f>
        <v>Female</v>
      </c>
      <c r="B191" t="str">
        <f>PROPER(TRIM('raw data'!B191))</f>
        <v>Group C</v>
      </c>
      <c r="C191" s="7" t="str">
        <f>PROPER(TRIM('raw data'!C191))</f>
        <v>Bachelor'S Degree</v>
      </c>
      <c r="D191" s="7" t="str">
        <f>PROPER(TRIM('raw data'!D191))</f>
        <v>Standard</v>
      </c>
      <c r="E191" s="7" t="str">
        <f>PROPER(TRIM('raw data'!E191))</f>
        <v>None</v>
      </c>
      <c r="F191" s="8">
        <v>77</v>
      </c>
      <c r="G191" s="8">
        <v>88</v>
      </c>
      <c r="H191" s="8">
        <v>87</v>
      </c>
      <c r="I191">
        <f t="shared" si="6"/>
        <v>252</v>
      </c>
      <c r="J191">
        <f t="shared" si="7"/>
        <v>84</v>
      </c>
      <c r="K191" s="7" t="str">
        <f t="shared" si="8"/>
        <v>pass</v>
      </c>
    </row>
    <row r="192" spans="1:11" x14ac:dyDescent="0.25">
      <c r="A192" t="str">
        <f>PROPER(TRIM('raw data'!A192))</f>
        <v>Female</v>
      </c>
      <c r="B192" t="str">
        <f>PROPER(TRIM('raw data'!B192))</f>
        <v>Group E</v>
      </c>
      <c r="C192" s="7" t="str">
        <f>PROPER(TRIM('raw data'!C192))</f>
        <v>Associate'S Degree</v>
      </c>
      <c r="D192" s="7" t="str">
        <f>PROPER(TRIM('raw data'!D192))</f>
        <v>Standard</v>
      </c>
      <c r="E192" s="7" t="str">
        <f>PROPER(TRIM('raw data'!E192))</f>
        <v>None</v>
      </c>
      <c r="F192" s="8">
        <v>66</v>
      </c>
      <c r="G192" s="8">
        <v>65</v>
      </c>
      <c r="H192" s="8">
        <v>69</v>
      </c>
      <c r="I192">
        <f t="shared" si="6"/>
        <v>200</v>
      </c>
      <c r="J192">
        <f t="shared" si="7"/>
        <v>66.666666666666671</v>
      </c>
      <c r="K192" s="7" t="str">
        <f t="shared" si="8"/>
        <v>pass</v>
      </c>
    </row>
    <row r="193" spans="1:11" x14ac:dyDescent="0.25">
      <c r="A193" t="str">
        <f>PROPER(TRIM('raw data'!A193))</f>
        <v>Male</v>
      </c>
      <c r="B193" t="str">
        <f>PROPER(TRIM('raw data'!B193))</f>
        <v>Group D</v>
      </c>
      <c r="C193" s="7" t="str">
        <f>PROPER(TRIM('raw data'!C193))</f>
        <v>Some College</v>
      </c>
      <c r="D193" s="7" t="str">
        <f>PROPER(TRIM('raw data'!D193))</f>
        <v>Standard</v>
      </c>
      <c r="E193" s="7" t="str">
        <f>PROPER(TRIM('raw data'!E193))</f>
        <v>Completed</v>
      </c>
      <c r="F193" s="8">
        <v>76</v>
      </c>
      <c r="G193" s="8">
        <v>83</v>
      </c>
      <c r="H193" s="8">
        <v>79</v>
      </c>
      <c r="I193">
        <f t="shared" si="6"/>
        <v>238</v>
      </c>
      <c r="J193">
        <f t="shared" si="7"/>
        <v>79.333333333333329</v>
      </c>
      <c r="K193" s="7" t="str">
        <f t="shared" si="8"/>
        <v>pass</v>
      </c>
    </row>
    <row r="194" spans="1:11" x14ac:dyDescent="0.25">
      <c r="A194" t="str">
        <f>PROPER(TRIM('raw data'!A194))</f>
        <v>Female</v>
      </c>
      <c r="B194" t="str">
        <f>PROPER(TRIM('raw data'!B194))</f>
        <v>Group B</v>
      </c>
      <c r="C194" s="7" t="str">
        <f>PROPER(TRIM('raw data'!C194))</f>
        <v>Some High School</v>
      </c>
      <c r="D194" s="7" t="str">
        <f>PROPER(TRIM('raw data'!D194))</f>
        <v>Standard</v>
      </c>
      <c r="E194" s="7" t="str">
        <f>PROPER(TRIM('raw data'!E194))</f>
        <v>None</v>
      </c>
      <c r="F194" s="8">
        <v>62</v>
      </c>
      <c r="G194" s="8">
        <v>64</v>
      </c>
      <c r="H194" s="8">
        <v>66</v>
      </c>
      <c r="I194">
        <f t="shared" si="6"/>
        <v>192</v>
      </c>
      <c r="J194">
        <f t="shared" si="7"/>
        <v>64</v>
      </c>
      <c r="K194" s="7" t="str">
        <f t="shared" si="8"/>
        <v>pass</v>
      </c>
    </row>
    <row r="195" spans="1:11" x14ac:dyDescent="0.25">
      <c r="A195" t="str">
        <f>PROPER(TRIM('raw data'!A195))</f>
        <v>Male</v>
      </c>
      <c r="B195" t="str">
        <f>PROPER(TRIM('raw data'!B195))</f>
        <v>Group D</v>
      </c>
      <c r="C195" s="7" t="str">
        <f>PROPER(TRIM('raw data'!C195))</f>
        <v>Some College</v>
      </c>
      <c r="D195" s="7" t="str">
        <f>PROPER(TRIM('raw data'!D195))</f>
        <v>Standard</v>
      </c>
      <c r="E195" s="7" t="str">
        <f>PROPER(TRIM('raw data'!E195))</f>
        <v>Completed</v>
      </c>
      <c r="F195" s="8">
        <v>77</v>
      </c>
      <c r="G195" s="8">
        <v>62</v>
      </c>
      <c r="H195" s="8">
        <v>62</v>
      </c>
      <c r="I195">
        <f t="shared" ref="I195:I258" si="9">F195+G195+H195</f>
        <v>201</v>
      </c>
      <c r="J195">
        <f t="shared" ref="J195:J258" si="10">I195/3</f>
        <v>67</v>
      </c>
      <c r="K195" s="7" t="str">
        <f t="shared" ref="K195:K258" si="11">IF(J195&gt;=40,"pass","fail")</f>
        <v>pass</v>
      </c>
    </row>
    <row r="196" spans="1:11" x14ac:dyDescent="0.25">
      <c r="A196" t="str">
        <f>PROPER(TRIM('raw data'!A196))</f>
        <v>Female</v>
      </c>
      <c r="B196" t="str">
        <f>PROPER(TRIM('raw data'!B196))</f>
        <v>Group C</v>
      </c>
      <c r="C196" s="7" t="str">
        <f>PROPER(TRIM('raw data'!C196))</f>
        <v>Master'S Degree</v>
      </c>
      <c r="D196" s="7" t="str">
        <f>PROPER(TRIM('raw data'!D196))</f>
        <v>Standard</v>
      </c>
      <c r="E196" s="7" t="str">
        <f>PROPER(TRIM('raw data'!E196))</f>
        <v>Completed</v>
      </c>
      <c r="F196" s="8">
        <v>69</v>
      </c>
      <c r="G196" s="8">
        <v>84</v>
      </c>
      <c r="H196" s="8">
        <v>85</v>
      </c>
      <c r="I196">
        <f t="shared" si="9"/>
        <v>238</v>
      </c>
      <c r="J196">
        <f t="shared" si="10"/>
        <v>79.333333333333329</v>
      </c>
      <c r="K196" s="7" t="str">
        <f t="shared" si="11"/>
        <v>pass</v>
      </c>
    </row>
    <row r="197" spans="1:11" x14ac:dyDescent="0.25">
      <c r="A197" t="str">
        <f>PROPER(TRIM('raw data'!A197))</f>
        <v>Male</v>
      </c>
      <c r="B197" t="str">
        <f>PROPER(TRIM('raw data'!B197))</f>
        <v>Group D</v>
      </c>
      <c r="C197" s="7" t="str">
        <f>PROPER(TRIM('raw data'!C197))</f>
        <v>Associate'S Degree</v>
      </c>
      <c r="D197" s="7" t="str">
        <f>PROPER(TRIM('raw data'!D197))</f>
        <v>Standard</v>
      </c>
      <c r="E197" s="7" t="str">
        <f>PROPER(TRIM('raw data'!E197))</f>
        <v>None</v>
      </c>
      <c r="F197" s="8">
        <v>61</v>
      </c>
      <c r="G197" s="8">
        <v>55</v>
      </c>
      <c r="H197" s="8">
        <v>52</v>
      </c>
      <c r="I197">
        <f t="shared" si="9"/>
        <v>168</v>
      </c>
      <c r="J197">
        <f t="shared" si="10"/>
        <v>56</v>
      </c>
      <c r="K197" s="7" t="str">
        <f t="shared" si="11"/>
        <v>pass</v>
      </c>
    </row>
    <row r="198" spans="1:11" x14ac:dyDescent="0.25">
      <c r="A198" t="str">
        <f>PROPER(TRIM('raw data'!A198))</f>
        <v>Male</v>
      </c>
      <c r="B198" t="str">
        <f>PROPER(TRIM('raw data'!B198))</f>
        <v>Group C</v>
      </c>
      <c r="C198" s="7" t="str">
        <f>PROPER(TRIM('raw data'!C198))</f>
        <v>Some High School</v>
      </c>
      <c r="D198" s="7" t="str">
        <f>PROPER(TRIM('raw data'!D198))</f>
        <v>Free/Reduced</v>
      </c>
      <c r="E198" s="7" t="str">
        <f>PROPER(TRIM('raw data'!E198))</f>
        <v>Completed</v>
      </c>
      <c r="F198" s="8">
        <v>59</v>
      </c>
      <c r="G198" s="8">
        <v>69</v>
      </c>
      <c r="H198" s="8">
        <v>65</v>
      </c>
      <c r="I198">
        <f t="shared" si="9"/>
        <v>193</v>
      </c>
      <c r="J198">
        <f t="shared" si="10"/>
        <v>64.333333333333329</v>
      </c>
      <c r="K198" s="7" t="str">
        <f t="shared" si="11"/>
        <v>pass</v>
      </c>
    </row>
    <row r="199" spans="1:11" x14ac:dyDescent="0.25">
      <c r="A199" t="str">
        <f>PROPER(TRIM('raw data'!A199))</f>
        <v>Male</v>
      </c>
      <c r="B199" t="str">
        <f>PROPER(TRIM('raw data'!B199))</f>
        <v>Group E</v>
      </c>
      <c r="C199" s="7" t="str">
        <f>PROPER(TRIM('raw data'!C199))</f>
        <v>High School</v>
      </c>
      <c r="D199" s="7" t="str">
        <f>PROPER(TRIM('raw data'!D199))</f>
        <v>Free/Reduced</v>
      </c>
      <c r="E199" s="7" t="str">
        <f>PROPER(TRIM('raw data'!E199))</f>
        <v>None</v>
      </c>
      <c r="F199" s="8">
        <v>55</v>
      </c>
      <c r="G199" s="8">
        <v>56</v>
      </c>
      <c r="H199" s="8">
        <v>51</v>
      </c>
      <c r="I199">
        <f t="shared" si="9"/>
        <v>162</v>
      </c>
      <c r="J199">
        <f t="shared" si="10"/>
        <v>54</v>
      </c>
      <c r="K199" s="7" t="str">
        <f t="shared" si="11"/>
        <v>pass</v>
      </c>
    </row>
    <row r="200" spans="1:11" x14ac:dyDescent="0.25">
      <c r="A200" t="str">
        <f>PROPER(TRIM('raw data'!A200))</f>
        <v>Female</v>
      </c>
      <c r="B200" t="str">
        <f>PROPER(TRIM('raw data'!B200))</f>
        <v>Group B</v>
      </c>
      <c r="C200" s="7" t="str">
        <f>PROPER(TRIM('raw data'!C200))</f>
        <v>Some College</v>
      </c>
      <c r="D200" s="7" t="str">
        <f>PROPER(TRIM('raw data'!D200))</f>
        <v>Free/Reduced</v>
      </c>
      <c r="E200" s="7" t="str">
        <f>PROPER(TRIM('raw data'!E200))</f>
        <v>None</v>
      </c>
      <c r="F200" s="8">
        <v>45</v>
      </c>
      <c r="G200" s="8">
        <v>53</v>
      </c>
      <c r="H200" s="8">
        <v>55</v>
      </c>
      <c r="I200">
        <f t="shared" si="9"/>
        <v>153</v>
      </c>
      <c r="J200">
        <f t="shared" si="10"/>
        <v>51</v>
      </c>
      <c r="K200" s="7" t="str">
        <f t="shared" si="11"/>
        <v>pass</v>
      </c>
    </row>
    <row r="201" spans="1:11" x14ac:dyDescent="0.25">
      <c r="A201" t="str">
        <f>PROPER(TRIM('raw data'!A201))</f>
        <v>Female</v>
      </c>
      <c r="B201" t="str">
        <f>PROPER(TRIM('raw data'!B201))</f>
        <v>Group B</v>
      </c>
      <c r="C201" s="7" t="str">
        <f>PROPER(TRIM('raw data'!C201))</f>
        <v>Bachelor'S Degree</v>
      </c>
      <c r="D201" s="7" t="str">
        <f>PROPER(TRIM('raw data'!D201))</f>
        <v>Free/Reduced</v>
      </c>
      <c r="E201" s="7" t="str">
        <f>PROPER(TRIM('raw data'!E201))</f>
        <v>None</v>
      </c>
      <c r="F201" s="8">
        <v>78</v>
      </c>
      <c r="G201" s="8">
        <v>79</v>
      </c>
      <c r="H201" s="8">
        <v>76</v>
      </c>
      <c r="I201">
        <f t="shared" si="9"/>
        <v>233</v>
      </c>
      <c r="J201">
        <f t="shared" si="10"/>
        <v>77.666666666666671</v>
      </c>
      <c r="K201" s="7" t="str">
        <f t="shared" si="11"/>
        <v>pass</v>
      </c>
    </row>
    <row r="202" spans="1:11" x14ac:dyDescent="0.25">
      <c r="A202" t="str">
        <f>PROPER(TRIM('raw data'!A202))</f>
        <v>Female</v>
      </c>
      <c r="B202" t="str">
        <f>PROPER(TRIM('raw data'!B202))</f>
        <v>Group C</v>
      </c>
      <c r="C202" s="7" t="str">
        <f>PROPER(TRIM('raw data'!C202))</f>
        <v>Associate'S Degree</v>
      </c>
      <c r="D202" s="7" t="str">
        <f>PROPER(TRIM('raw data'!D202))</f>
        <v>Standard</v>
      </c>
      <c r="E202" s="7" t="str">
        <f>PROPER(TRIM('raw data'!E202))</f>
        <v>Completed</v>
      </c>
      <c r="F202" s="8">
        <v>67</v>
      </c>
      <c r="G202" s="8">
        <v>84</v>
      </c>
      <c r="H202" s="8">
        <v>86</v>
      </c>
      <c r="I202">
        <f t="shared" si="9"/>
        <v>237</v>
      </c>
      <c r="J202">
        <f t="shared" si="10"/>
        <v>79</v>
      </c>
      <c r="K202" s="7" t="str">
        <f t="shared" si="11"/>
        <v>pass</v>
      </c>
    </row>
    <row r="203" spans="1:11" x14ac:dyDescent="0.25">
      <c r="A203" t="str">
        <f>PROPER(TRIM('raw data'!A203))</f>
        <v>Female</v>
      </c>
      <c r="B203" t="str">
        <f>PROPER(TRIM('raw data'!B203))</f>
        <v>Group D</v>
      </c>
      <c r="C203" s="7" t="str">
        <f>PROPER(TRIM('raw data'!C203))</f>
        <v>Some College</v>
      </c>
      <c r="D203" s="7" t="str">
        <f>PROPER(TRIM('raw data'!D203))</f>
        <v>Free/Reduced</v>
      </c>
      <c r="E203" s="7" t="str">
        <f>PROPER(TRIM('raw data'!E203))</f>
        <v>None</v>
      </c>
      <c r="F203" s="8">
        <v>65</v>
      </c>
      <c r="G203" s="8">
        <v>81</v>
      </c>
      <c r="H203" s="8">
        <v>77</v>
      </c>
      <c r="I203">
        <f t="shared" si="9"/>
        <v>223</v>
      </c>
      <c r="J203">
        <f t="shared" si="10"/>
        <v>74.333333333333329</v>
      </c>
      <c r="K203" s="7" t="str">
        <f t="shared" si="11"/>
        <v>pass</v>
      </c>
    </row>
    <row r="204" spans="1:11" x14ac:dyDescent="0.25">
      <c r="A204" t="str">
        <f>PROPER(TRIM('raw data'!A204))</f>
        <v>Male</v>
      </c>
      <c r="B204" t="str">
        <f>PROPER(TRIM('raw data'!B204))</f>
        <v>Group C</v>
      </c>
      <c r="C204" s="7" t="str">
        <f>PROPER(TRIM('raw data'!C204))</f>
        <v>Associate'S Degree</v>
      </c>
      <c r="D204" s="7" t="str">
        <f>PROPER(TRIM('raw data'!D204))</f>
        <v>Standard</v>
      </c>
      <c r="E204" s="7" t="str">
        <f>PROPER(TRIM('raw data'!E204))</f>
        <v>None</v>
      </c>
      <c r="F204" s="8">
        <v>69</v>
      </c>
      <c r="G204" s="8">
        <v>77</v>
      </c>
      <c r="H204" s="8">
        <v>69</v>
      </c>
      <c r="I204">
        <f t="shared" si="9"/>
        <v>215</v>
      </c>
      <c r="J204">
        <f t="shared" si="10"/>
        <v>71.666666666666671</v>
      </c>
      <c r="K204" s="7" t="str">
        <f t="shared" si="11"/>
        <v>pass</v>
      </c>
    </row>
    <row r="205" spans="1:11" x14ac:dyDescent="0.25">
      <c r="A205" t="str">
        <f>PROPER(TRIM('raw data'!A205))</f>
        <v>Female</v>
      </c>
      <c r="B205" t="str">
        <f>PROPER(TRIM('raw data'!B205))</f>
        <v>Group B</v>
      </c>
      <c r="C205" s="7" t="str">
        <f>PROPER(TRIM('raw data'!C205))</f>
        <v>Associate'S Degree</v>
      </c>
      <c r="D205" s="7" t="str">
        <f>PROPER(TRIM('raw data'!D205))</f>
        <v>Standard</v>
      </c>
      <c r="E205" s="7" t="str">
        <f>PROPER(TRIM('raw data'!E205))</f>
        <v>None</v>
      </c>
      <c r="F205" s="8">
        <v>57</v>
      </c>
      <c r="G205" s="8">
        <v>69</v>
      </c>
      <c r="H205" s="8">
        <v>68</v>
      </c>
      <c r="I205">
        <f t="shared" si="9"/>
        <v>194</v>
      </c>
      <c r="J205">
        <f t="shared" si="10"/>
        <v>64.666666666666671</v>
      </c>
      <c r="K205" s="7" t="str">
        <f t="shared" si="11"/>
        <v>pass</v>
      </c>
    </row>
    <row r="206" spans="1:11" x14ac:dyDescent="0.25">
      <c r="A206" t="str">
        <f>PROPER(TRIM('raw data'!A206))</f>
        <v>Male</v>
      </c>
      <c r="B206" t="str">
        <f>PROPER(TRIM('raw data'!B206))</f>
        <v>Group C</v>
      </c>
      <c r="C206" s="7" t="str">
        <f>PROPER(TRIM('raw data'!C206))</f>
        <v>Some College</v>
      </c>
      <c r="D206" s="7" t="str">
        <f>PROPER(TRIM('raw data'!D206))</f>
        <v>Standard</v>
      </c>
      <c r="E206" s="7" t="str">
        <f>PROPER(TRIM('raw data'!E206))</f>
        <v>None</v>
      </c>
      <c r="F206" s="8">
        <v>59</v>
      </c>
      <c r="G206" s="8">
        <v>41</v>
      </c>
      <c r="H206" s="8">
        <v>42</v>
      </c>
      <c r="I206">
        <f t="shared" si="9"/>
        <v>142</v>
      </c>
      <c r="J206">
        <f t="shared" si="10"/>
        <v>47.333333333333336</v>
      </c>
      <c r="K206" s="7" t="str">
        <f t="shared" si="11"/>
        <v>pass</v>
      </c>
    </row>
    <row r="207" spans="1:11" x14ac:dyDescent="0.25">
      <c r="A207" t="str">
        <f>PROPER(TRIM('raw data'!A207))</f>
        <v>Male</v>
      </c>
      <c r="B207" t="str">
        <f>PROPER(TRIM('raw data'!B207))</f>
        <v>Group D</v>
      </c>
      <c r="C207" s="7" t="str">
        <f>PROPER(TRIM('raw data'!C207))</f>
        <v>Some High School</v>
      </c>
      <c r="D207" s="7" t="str">
        <f>PROPER(TRIM('raw data'!D207))</f>
        <v>Standard</v>
      </c>
      <c r="E207" s="7" t="str">
        <f>PROPER(TRIM('raw data'!E207))</f>
        <v>Completed</v>
      </c>
      <c r="F207" s="8">
        <v>74</v>
      </c>
      <c r="G207" s="8">
        <v>71</v>
      </c>
      <c r="H207" s="8">
        <v>78</v>
      </c>
      <c r="I207">
        <f t="shared" si="9"/>
        <v>223</v>
      </c>
      <c r="J207">
        <f t="shared" si="10"/>
        <v>74.333333333333329</v>
      </c>
      <c r="K207" s="7" t="str">
        <f t="shared" si="11"/>
        <v>pass</v>
      </c>
    </row>
    <row r="208" spans="1:11" x14ac:dyDescent="0.25">
      <c r="A208" t="str">
        <f>PROPER(TRIM('raw data'!A208))</f>
        <v>Male</v>
      </c>
      <c r="B208" t="str">
        <f>PROPER(TRIM('raw data'!B208))</f>
        <v>Group E</v>
      </c>
      <c r="C208" s="7" t="str">
        <f>PROPER(TRIM('raw data'!C208))</f>
        <v>Bachelor'S Degree</v>
      </c>
      <c r="D208" s="7" t="str">
        <f>PROPER(TRIM('raw data'!D208))</f>
        <v>Standard</v>
      </c>
      <c r="E208" s="7" t="str">
        <f>PROPER(TRIM('raw data'!E208))</f>
        <v>None</v>
      </c>
      <c r="F208" s="8">
        <v>82</v>
      </c>
      <c r="G208" s="8">
        <v>62</v>
      </c>
      <c r="H208" s="8">
        <v>62</v>
      </c>
      <c r="I208">
        <f t="shared" si="9"/>
        <v>206</v>
      </c>
      <c r="J208">
        <f t="shared" si="10"/>
        <v>68.666666666666671</v>
      </c>
      <c r="K208" s="7" t="str">
        <f t="shared" si="11"/>
        <v>pass</v>
      </c>
    </row>
    <row r="209" spans="1:11" x14ac:dyDescent="0.25">
      <c r="A209" t="str">
        <f>PROPER(TRIM('raw data'!A209))</f>
        <v>Male</v>
      </c>
      <c r="B209" t="str">
        <f>PROPER(TRIM('raw data'!B209))</f>
        <v>Group E</v>
      </c>
      <c r="C209" s="7" t="str">
        <f>PROPER(TRIM('raw data'!C209))</f>
        <v>High School</v>
      </c>
      <c r="D209" s="7" t="str">
        <f>PROPER(TRIM('raw data'!D209))</f>
        <v>Standard</v>
      </c>
      <c r="E209" s="7" t="str">
        <f>PROPER(TRIM('raw data'!E209))</f>
        <v>Completed</v>
      </c>
      <c r="F209" s="8">
        <v>81</v>
      </c>
      <c r="G209" s="8">
        <v>80</v>
      </c>
      <c r="H209" s="8">
        <v>76</v>
      </c>
      <c r="I209">
        <f t="shared" si="9"/>
        <v>237</v>
      </c>
      <c r="J209">
        <f t="shared" si="10"/>
        <v>79</v>
      </c>
      <c r="K209" s="7" t="str">
        <f t="shared" si="11"/>
        <v>pass</v>
      </c>
    </row>
    <row r="210" spans="1:11" x14ac:dyDescent="0.25">
      <c r="A210" t="str">
        <f>PROPER(TRIM('raw data'!A210))</f>
        <v>Female</v>
      </c>
      <c r="B210" t="str">
        <f>PROPER(TRIM('raw data'!B210))</f>
        <v>Group B</v>
      </c>
      <c r="C210" s="7" t="str">
        <f>PROPER(TRIM('raw data'!C210))</f>
        <v>Some College</v>
      </c>
      <c r="D210" s="7" t="str">
        <f>PROPER(TRIM('raw data'!D210))</f>
        <v>Free/Reduced</v>
      </c>
      <c r="E210" s="7" t="str">
        <f>PROPER(TRIM('raw data'!E210))</f>
        <v>None</v>
      </c>
      <c r="F210" s="8">
        <v>74</v>
      </c>
      <c r="G210" s="8">
        <v>81</v>
      </c>
      <c r="H210" s="8">
        <v>76</v>
      </c>
      <c r="I210">
        <f t="shared" si="9"/>
        <v>231</v>
      </c>
      <c r="J210">
        <f t="shared" si="10"/>
        <v>77</v>
      </c>
      <c r="K210" s="7" t="str">
        <f t="shared" si="11"/>
        <v>pass</v>
      </c>
    </row>
    <row r="211" spans="1:11" x14ac:dyDescent="0.25">
      <c r="A211" t="str">
        <f>PROPER(TRIM('raw data'!A211))</f>
        <v>Female</v>
      </c>
      <c r="B211" t="str">
        <f>PROPER(TRIM('raw data'!B211))</f>
        <v>Group B</v>
      </c>
      <c r="C211" s="7" t="str">
        <f>PROPER(TRIM('raw data'!C211))</f>
        <v>Some College</v>
      </c>
      <c r="D211" s="7" t="str">
        <f>PROPER(TRIM('raw data'!D211))</f>
        <v>Free/Reduced</v>
      </c>
      <c r="E211" s="7" t="str">
        <f>PROPER(TRIM('raw data'!E211))</f>
        <v>None</v>
      </c>
      <c r="F211" s="8">
        <v>58</v>
      </c>
      <c r="G211" s="8">
        <v>61</v>
      </c>
      <c r="H211" s="8">
        <v>66</v>
      </c>
      <c r="I211">
        <f t="shared" si="9"/>
        <v>185</v>
      </c>
      <c r="J211">
        <f t="shared" si="10"/>
        <v>61.666666666666664</v>
      </c>
      <c r="K211" s="7" t="str">
        <f t="shared" si="11"/>
        <v>pass</v>
      </c>
    </row>
    <row r="212" spans="1:11" x14ac:dyDescent="0.25">
      <c r="A212" t="str">
        <f>PROPER(TRIM('raw data'!A212))</f>
        <v>Male</v>
      </c>
      <c r="B212" t="str">
        <f>PROPER(TRIM('raw data'!B212))</f>
        <v>Group D</v>
      </c>
      <c r="C212" s="7" t="str">
        <f>PROPER(TRIM('raw data'!C212))</f>
        <v>Some High School</v>
      </c>
      <c r="D212" s="7" t="str">
        <f>PROPER(TRIM('raw data'!D212))</f>
        <v>Free/Reduced</v>
      </c>
      <c r="E212" s="7" t="str">
        <f>PROPER(TRIM('raw data'!E212))</f>
        <v>Completed</v>
      </c>
      <c r="F212" s="8">
        <v>80</v>
      </c>
      <c r="G212" s="8">
        <v>79</v>
      </c>
      <c r="H212" s="8">
        <v>79</v>
      </c>
      <c r="I212">
        <f t="shared" si="9"/>
        <v>238</v>
      </c>
      <c r="J212">
        <f t="shared" si="10"/>
        <v>79.333333333333329</v>
      </c>
      <c r="K212" s="7" t="str">
        <f t="shared" si="11"/>
        <v>pass</v>
      </c>
    </row>
    <row r="213" spans="1:11" x14ac:dyDescent="0.25">
      <c r="A213" t="str">
        <f>PROPER(TRIM('raw data'!A213))</f>
        <v>Male</v>
      </c>
      <c r="B213" t="str">
        <f>PROPER(TRIM('raw data'!B213))</f>
        <v>Group C</v>
      </c>
      <c r="C213" s="7" t="str">
        <f>PROPER(TRIM('raw data'!C213))</f>
        <v>Some College</v>
      </c>
      <c r="D213" s="7" t="str">
        <f>PROPER(TRIM('raw data'!D213))</f>
        <v>Free/Reduced</v>
      </c>
      <c r="E213" s="7" t="str">
        <f>PROPER(TRIM('raw data'!E213))</f>
        <v>None</v>
      </c>
      <c r="F213" s="8">
        <v>35</v>
      </c>
      <c r="G213" s="8">
        <v>28</v>
      </c>
      <c r="H213" s="8">
        <v>27</v>
      </c>
      <c r="I213">
        <f t="shared" si="9"/>
        <v>90</v>
      </c>
      <c r="J213">
        <f t="shared" si="10"/>
        <v>30</v>
      </c>
      <c r="K213" s="7" t="str">
        <f t="shared" si="11"/>
        <v>fail</v>
      </c>
    </row>
    <row r="214" spans="1:11" x14ac:dyDescent="0.25">
      <c r="A214" t="str">
        <f>PROPER(TRIM('raw data'!A214))</f>
        <v>Female</v>
      </c>
      <c r="B214" t="str">
        <f>PROPER(TRIM('raw data'!B214))</f>
        <v>Group C</v>
      </c>
      <c r="C214" s="7" t="str">
        <f>PROPER(TRIM('raw data'!C214))</f>
        <v>High School</v>
      </c>
      <c r="D214" s="7" t="str">
        <f>PROPER(TRIM('raw data'!D214))</f>
        <v>Free/Reduced</v>
      </c>
      <c r="E214" s="7" t="str">
        <f>PROPER(TRIM('raw data'!E214))</f>
        <v>None</v>
      </c>
      <c r="F214" s="8">
        <v>42</v>
      </c>
      <c r="G214" s="8">
        <v>62</v>
      </c>
      <c r="H214" s="8">
        <v>60</v>
      </c>
      <c r="I214">
        <f t="shared" si="9"/>
        <v>164</v>
      </c>
      <c r="J214">
        <f t="shared" si="10"/>
        <v>54.666666666666664</v>
      </c>
      <c r="K214" s="7" t="str">
        <f t="shared" si="11"/>
        <v>pass</v>
      </c>
    </row>
    <row r="215" spans="1:11" x14ac:dyDescent="0.25">
      <c r="A215" t="str">
        <f>PROPER(TRIM('raw data'!A215))</f>
        <v>Male</v>
      </c>
      <c r="B215" t="str">
        <f>PROPER(TRIM('raw data'!B215))</f>
        <v>Group C</v>
      </c>
      <c r="C215" s="7" t="str">
        <f>PROPER(TRIM('raw data'!C215))</f>
        <v>Associate'S Degree</v>
      </c>
      <c r="D215" s="7" t="str">
        <f>PROPER(TRIM('raw data'!D215))</f>
        <v>Free/Reduced</v>
      </c>
      <c r="E215" s="7" t="str">
        <f>PROPER(TRIM('raw data'!E215))</f>
        <v>Completed</v>
      </c>
      <c r="F215" s="8">
        <v>60</v>
      </c>
      <c r="G215" s="8">
        <v>51</v>
      </c>
      <c r="H215" s="8">
        <v>56</v>
      </c>
      <c r="I215">
        <f t="shared" si="9"/>
        <v>167</v>
      </c>
      <c r="J215">
        <f t="shared" si="10"/>
        <v>55.666666666666664</v>
      </c>
      <c r="K215" s="7" t="str">
        <f t="shared" si="11"/>
        <v>pass</v>
      </c>
    </row>
    <row r="216" spans="1:11" x14ac:dyDescent="0.25">
      <c r="A216" t="str">
        <f>PROPER(TRIM('raw data'!A216))</f>
        <v>Male</v>
      </c>
      <c r="B216" t="str">
        <f>PROPER(TRIM('raw data'!B216))</f>
        <v>Group E</v>
      </c>
      <c r="C216" s="7" t="str">
        <f>PROPER(TRIM('raw data'!C216))</f>
        <v>High School</v>
      </c>
      <c r="D216" s="7" t="str">
        <f>PROPER(TRIM('raw data'!D216))</f>
        <v>Standard</v>
      </c>
      <c r="E216" s="7" t="str">
        <f>PROPER(TRIM('raw data'!E216))</f>
        <v>Completed</v>
      </c>
      <c r="F216" s="8">
        <v>87</v>
      </c>
      <c r="G216" s="8">
        <v>91</v>
      </c>
      <c r="H216" s="8">
        <v>81</v>
      </c>
      <c r="I216">
        <f t="shared" si="9"/>
        <v>259</v>
      </c>
      <c r="J216">
        <f t="shared" si="10"/>
        <v>86.333333333333329</v>
      </c>
      <c r="K216" s="7" t="str">
        <f t="shared" si="11"/>
        <v>pass</v>
      </c>
    </row>
    <row r="217" spans="1:11" x14ac:dyDescent="0.25">
      <c r="A217" t="str">
        <f>PROPER(TRIM('raw data'!A217))</f>
        <v>Male</v>
      </c>
      <c r="B217" t="str">
        <f>PROPER(TRIM('raw data'!B217))</f>
        <v>Group B</v>
      </c>
      <c r="C217" s="7" t="str">
        <f>PROPER(TRIM('raw data'!C217))</f>
        <v>Some High School</v>
      </c>
      <c r="D217" s="7" t="str">
        <f>PROPER(TRIM('raw data'!D217))</f>
        <v>Standard</v>
      </c>
      <c r="E217" s="7" t="str">
        <f>PROPER(TRIM('raw data'!E217))</f>
        <v>Completed</v>
      </c>
      <c r="F217" s="8">
        <v>84</v>
      </c>
      <c r="G217" s="8">
        <v>83</v>
      </c>
      <c r="H217" s="8">
        <v>75</v>
      </c>
      <c r="I217">
        <f t="shared" si="9"/>
        <v>242</v>
      </c>
      <c r="J217">
        <f t="shared" si="10"/>
        <v>80.666666666666671</v>
      </c>
      <c r="K217" s="7" t="str">
        <f t="shared" si="11"/>
        <v>pass</v>
      </c>
    </row>
    <row r="218" spans="1:11" x14ac:dyDescent="0.25">
      <c r="A218" t="str">
        <f>PROPER(TRIM('raw data'!A218))</f>
        <v>Female</v>
      </c>
      <c r="B218" t="str">
        <f>PROPER(TRIM('raw data'!B218))</f>
        <v>Group E</v>
      </c>
      <c r="C218" s="7" t="str">
        <f>PROPER(TRIM('raw data'!C218))</f>
        <v>Associate'S Degree</v>
      </c>
      <c r="D218" s="7" t="str">
        <f>PROPER(TRIM('raw data'!D218))</f>
        <v>Free/Reduced</v>
      </c>
      <c r="E218" s="7" t="str">
        <f>PROPER(TRIM('raw data'!E218))</f>
        <v>Completed</v>
      </c>
      <c r="F218" s="8">
        <v>83</v>
      </c>
      <c r="G218" s="8">
        <v>86</v>
      </c>
      <c r="H218" s="8">
        <v>88</v>
      </c>
      <c r="I218">
        <f t="shared" si="9"/>
        <v>257</v>
      </c>
      <c r="J218">
        <f t="shared" si="10"/>
        <v>85.666666666666671</v>
      </c>
      <c r="K218" s="7" t="str">
        <f t="shared" si="11"/>
        <v>pass</v>
      </c>
    </row>
    <row r="219" spans="1:11" x14ac:dyDescent="0.25">
      <c r="A219" t="str">
        <f>PROPER(TRIM('raw data'!A219))</f>
        <v>Female</v>
      </c>
      <c r="B219" t="str">
        <f>PROPER(TRIM('raw data'!B219))</f>
        <v>Group C</v>
      </c>
      <c r="C219" s="7" t="str">
        <f>PROPER(TRIM('raw data'!C219))</f>
        <v>High School</v>
      </c>
      <c r="D219" s="7" t="str">
        <f>PROPER(TRIM('raw data'!D219))</f>
        <v>Free/Reduced</v>
      </c>
      <c r="E219" s="7" t="str">
        <f>PROPER(TRIM('raw data'!E219))</f>
        <v>None</v>
      </c>
      <c r="F219" s="8">
        <v>34</v>
      </c>
      <c r="G219" s="8">
        <v>42</v>
      </c>
      <c r="H219" s="8">
        <v>39</v>
      </c>
      <c r="I219">
        <f t="shared" si="9"/>
        <v>115</v>
      </c>
      <c r="J219">
        <f t="shared" si="10"/>
        <v>38.333333333333336</v>
      </c>
      <c r="K219" s="7" t="str">
        <f t="shared" si="11"/>
        <v>fail</v>
      </c>
    </row>
    <row r="220" spans="1:11" x14ac:dyDescent="0.25">
      <c r="A220" t="str">
        <f>PROPER(TRIM('raw data'!A220))</f>
        <v>Male</v>
      </c>
      <c r="B220" t="str">
        <f>PROPER(TRIM('raw data'!B220))</f>
        <v>Group B</v>
      </c>
      <c r="C220" s="7" t="str">
        <f>PROPER(TRIM('raw data'!C220))</f>
        <v>High School</v>
      </c>
      <c r="D220" s="7" t="str">
        <f>PROPER(TRIM('raw data'!D220))</f>
        <v>Free/Reduced</v>
      </c>
      <c r="E220" s="7" t="str">
        <f>PROPER(TRIM('raw data'!E220))</f>
        <v>None</v>
      </c>
      <c r="F220" s="8">
        <v>66</v>
      </c>
      <c r="G220" s="8">
        <v>77</v>
      </c>
      <c r="H220" s="8">
        <v>70</v>
      </c>
      <c r="I220">
        <f t="shared" si="9"/>
        <v>213</v>
      </c>
      <c r="J220">
        <f t="shared" si="10"/>
        <v>71</v>
      </c>
      <c r="K220" s="7" t="str">
        <f t="shared" si="11"/>
        <v>pass</v>
      </c>
    </row>
    <row r="221" spans="1:11" x14ac:dyDescent="0.25">
      <c r="A221" t="str">
        <f>PROPER(TRIM('raw data'!A221))</f>
        <v>Male</v>
      </c>
      <c r="B221" t="str">
        <f>PROPER(TRIM('raw data'!B221))</f>
        <v>Group B</v>
      </c>
      <c r="C221" s="7" t="str">
        <f>PROPER(TRIM('raw data'!C221))</f>
        <v>Some High School</v>
      </c>
      <c r="D221" s="7" t="str">
        <f>PROPER(TRIM('raw data'!D221))</f>
        <v>Standard</v>
      </c>
      <c r="E221" s="7" t="str">
        <f>PROPER(TRIM('raw data'!E221))</f>
        <v>Completed</v>
      </c>
      <c r="F221" s="8">
        <v>61</v>
      </c>
      <c r="G221" s="8">
        <v>56</v>
      </c>
      <c r="H221" s="8">
        <v>56</v>
      </c>
      <c r="I221">
        <f t="shared" si="9"/>
        <v>173</v>
      </c>
      <c r="J221">
        <f t="shared" si="10"/>
        <v>57.666666666666664</v>
      </c>
      <c r="K221" s="7" t="str">
        <f t="shared" si="11"/>
        <v>pass</v>
      </c>
    </row>
    <row r="222" spans="1:11" x14ac:dyDescent="0.25">
      <c r="A222" t="str">
        <f>PROPER(TRIM('raw data'!A222))</f>
        <v>Female</v>
      </c>
      <c r="B222" t="str">
        <f>PROPER(TRIM('raw data'!B222))</f>
        <v>Group D</v>
      </c>
      <c r="C222" s="7" t="str">
        <f>PROPER(TRIM('raw data'!C222))</f>
        <v>High School</v>
      </c>
      <c r="D222" s="7" t="str">
        <f>PROPER(TRIM('raw data'!D222))</f>
        <v>Standard</v>
      </c>
      <c r="E222" s="7" t="str">
        <f>PROPER(TRIM('raw data'!E222))</f>
        <v>Completed</v>
      </c>
      <c r="F222" s="8">
        <v>56</v>
      </c>
      <c r="G222" s="8">
        <v>68</v>
      </c>
      <c r="H222" s="8">
        <v>74</v>
      </c>
      <c r="I222">
        <f t="shared" si="9"/>
        <v>198</v>
      </c>
      <c r="J222">
        <f t="shared" si="10"/>
        <v>66</v>
      </c>
      <c r="K222" s="7" t="str">
        <f t="shared" si="11"/>
        <v>pass</v>
      </c>
    </row>
    <row r="223" spans="1:11" x14ac:dyDescent="0.25">
      <c r="A223" t="str">
        <f>PROPER(TRIM('raw data'!A223))</f>
        <v>Male</v>
      </c>
      <c r="B223" t="str">
        <f>PROPER(TRIM('raw data'!B223))</f>
        <v>Group B</v>
      </c>
      <c r="C223" s="7" t="str">
        <f>PROPER(TRIM('raw data'!C223))</f>
        <v>Associate'S Degree</v>
      </c>
      <c r="D223" s="7" t="str">
        <f>PROPER(TRIM('raw data'!D223))</f>
        <v>Standard</v>
      </c>
      <c r="E223" s="7" t="str">
        <f>PROPER(TRIM('raw data'!E223))</f>
        <v>None</v>
      </c>
      <c r="F223" s="8">
        <v>87</v>
      </c>
      <c r="G223" s="8">
        <v>85</v>
      </c>
      <c r="H223" s="8">
        <v>73</v>
      </c>
      <c r="I223">
        <f t="shared" si="9"/>
        <v>245</v>
      </c>
      <c r="J223">
        <f t="shared" si="10"/>
        <v>81.666666666666671</v>
      </c>
      <c r="K223" s="7" t="str">
        <f t="shared" si="11"/>
        <v>pass</v>
      </c>
    </row>
    <row r="224" spans="1:11" x14ac:dyDescent="0.25">
      <c r="A224" t="str">
        <f>PROPER(TRIM('raw data'!A224))</f>
        <v>Female</v>
      </c>
      <c r="B224" t="str">
        <f>PROPER(TRIM('raw data'!B224))</f>
        <v>Group C</v>
      </c>
      <c r="C224" s="7" t="str">
        <f>PROPER(TRIM('raw data'!C224))</f>
        <v>Some High School</v>
      </c>
      <c r="D224" s="7" t="str">
        <f>PROPER(TRIM('raw data'!D224))</f>
        <v>Free/Reduced</v>
      </c>
      <c r="E224" s="7" t="str">
        <f>PROPER(TRIM('raw data'!E224))</f>
        <v>None</v>
      </c>
      <c r="F224" s="8">
        <v>55</v>
      </c>
      <c r="G224" s="8">
        <v>65</v>
      </c>
      <c r="H224" s="8">
        <v>62</v>
      </c>
      <c r="I224">
        <f t="shared" si="9"/>
        <v>182</v>
      </c>
      <c r="J224">
        <f t="shared" si="10"/>
        <v>60.666666666666664</v>
      </c>
      <c r="K224" s="7" t="str">
        <f t="shared" si="11"/>
        <v>pass</v>
      </c>
    </row>
    <row r="225" spans="1:11" x14ac:dyDescent="0.25">
      <c r="A225" t="str">
        <f>PROPER(TRIM('raw data'!A225))</f>
        <v>Male</v>
      </c>
      <c r="B225" t="str">
        <f>PROPER(TRIM('raw data'!B225))</f>
        <v>Group D</v>
      </c>
      <c r="C225" s="7" t="str">
        <f>PROPER(TRIM('raw data'!C225))</f>
        <v>Some High School</v>
      </c>
      <c r="D225" s="7" t="str">
        <f>PROPER(TRIM('raw data'!D225))</f>
        <v>Standard</v>
      </c>
      <c r="E225" s="7" t="str">
        <f>PROPER(TRIM('raw data'!E225))</f>
        <v>None</v>
      </c>
      <c r="F225" s="8">
        <v>86</v>
      </c>
      <c r="G225" s="8">
        <v>80</v>
      </c>
      <c r="H225" s="8">
        <v>75</v>
      </c>
      <c r="I225">
        <f t="shared" si="9"/>
        <v>241</v>
      </c>
      <c r="J225">
        <f t="shared" si="10"/>
        <v>80.333333333333329</v>
      </c>
      <c r="K225" s="7" t="str">
        <f t="shared" si="11"/>
        <v>pass</v>
      </c>
    </row>
    <row r="226" spans="1:11" x14ac:dyDescent="0.25">
      <c r="A226" t="str">
        <f>PROPER(TRIM('raw data'!A226))</f>
        <v>Female</v>
      </c>
      <c r="B226" t="str">
        <f>PROPER(TRIM('raw data'!B226))</f>
        <v>Group B</v>
      </c>
      <c r="C226" s="7" t="str">
        <f>PROPER(TRIM('raw data'!C226))</f>
        <v>Associate'S Degree</v>
      </c>
      <c r="D226" s="7" t="str">
        <f>PROPER(TRIM('raw data'!D226))</f>
        <v>Standard</v>
      </c>
      <c r="E226" s="7" t="str">
        <f>PROPER(TRIM('raw data'!E226))</f>
        <v>Completed</v>
      </c>
      <c r="F226" s="8">
        <v>52</v>
      </c>
      <c r="G226" s="8">
        <v>66</v>
      </c>
      <c r="H226" s="8">
        <v>73</v>
      </c>
      <c r="I226">
        <f t="shared" si="9"/>
        <v>191</v>
      </c>
      <c r="J226">
        <f t="shared" si="10"/>
        <v>63.666666666666664</v>
      </c>
      <c r="K226" s="7" t="str">
        <f t="shared" si="11"/>
        <v>pass</v>
      </c>
    </row>
    <row r="227" spans="1:11" x14ac:dyDescent="0.25">
      <c r="A227" t="str">
        <f>PROPER(TRIM('raw data'!A227))</f>
        <v>Female</v>
      </c>
      <c r="B227" t="str">
        <f>PROPER(TRIM('raw data'!B227))</f>
        <v>Group E</v>
      </c>
      <c r="C227" s="7" t="str">
        <f>PROPER(TRIM('raw data'!C227))</f>
        <v>Master'S Degree</v>
      </c>
      <c r="D227" s="7" t="str">
        <f>PROPER(TRIM('raw data'!D227))</f>
        <v>Free/Reduced</v>
      </c>
      <c r="E227" s="7" t="str">
        <f>PROPER(TRIM('raw data'!E227))</f>
        <v>None</v>
      </c>
      <c r="F227" s="8">
        <v>45</v>
      </c>
      <c r="G227" s="8">
        <v>56</v>
      </c>
      <c r="H227" s="8">
        <v>54</v>
      </c>
      <c r="I227">
        <f t="shared" si="9"/>
        <v>155</v>
      </c>
      <c r="J227">
        <f t="shared" si="10"/>
        <v>51.666666666666664</v>
      </c>
      <c r="K227" s="7" t="str">
        <f t="shared" si="11"/>
        <v>pass</v>
      </c>
    </row>
    <row r="228" spans="1:11" x14ac:dyDescent="0.25">
      <c r="A228" t="str">
        <f>PROPER(TRIM('raw data'!A228))</f>
        <v>Female</v>
      </c>
      <c r="B228" t="str">
        <f>PROPER(TRIM('raw data'!B228))</f>
        <v>Group C</v>
      </c>
      <c r="C228" s="7" t="str">
        <f>PROPER(TRIM('raw data'!C228))</f>
        <v>Some College</v>
      </c>
      <c r="D228" s="7" t="str">
        <f>PROPER(TRIM('raw data'!D228))</f>
        <v>Standard</v>
      </c>
      <c r="E228" s="7" t="str">
        <f>PROPER(TRIM('raw data'!E228))</f>
        <v>None</v>
      </c>
      <c r="F228" s="8">
        <v>72</v>
      </c>
      <c r="G228" s="8">
        <v>72</v>
      </c>
      <c r="H228" s="8">
        <v>71</v>
      </c>
      <c r="I228">
        <f t="shared" si="9"/>
        <v>215</v>
      </c>
      <c r="J228">
        <f t="shared" si="10"/>
        <v>71.666666666666671</v>
      </c>
      <c r="K228" s="7" t="str">
        <f t="shared" si="11"/>
        <v>pass</v>
      </c>
    </row>
    <row r="229" spans="1:11" x14ac:dyDescent="0.25">
      <c r="A229" t="str">
        <f>PROPER(TRIM('raw data'!A229))</f>
        <v>Male</v>
      </c>
      <c r="B229" t="str">
        <f>PROPER(TRIM('raw data'!B229))</f>
        <v>Group D</v>
      </c>
      <c r="C229" s="7" t="str">
        <f>PROPER(TRIM('raw data'!C229))</f>
        <v>High School</v>
      </c>
      <c r="D229" s="7" t="str">
        <f>PROPER(TRIM('raw data'!D229))</f>
        <v>Standard</v>
      </c>
      <c r="E229" s="7" t="str">
        <f>PROPER(TRIM('raw data'!E229))</f>
        <v>None</v>
      </c>
      <c r="F229" s="8">
        <v>57</v>
      </c>
      <c r="G229" s="8">
        <v>50</v>
      </c>
      <c r="H229" s="8">
        <v>54</v>
      </c>
      <c r="I229">
        <f t="shared" si="9"/>
        <v>161</v>
      </c>
      <c r="J229">
        <f t="shared" si="10"/>
        <v>53.666666666666664</v>
      </c>
      <c r="K229" s="7" t="str">
        <f t="shared" si="11"/>
        <v>pass</v>
      </c>
    </row>
    <row r="230" spans="1:11" x14ac:dyDescent="0.25">
      <c r="A230" t="str">
        <f>PROPER(TRIM('raw data'!A230))</f>
        <v>Male</v>
      </c>
      <c r="B230" t="str">
        <f>PROPER(TRIM('raw data'!B230))</f>
        <v>Group A</v>
      </c>
      <c r="C230" s="7" t="str">
        <f>PROPER(TRIM('raw data'!C230))</f>
        <v>Some High School</v>
      </c>
      <c r="D230" s="7" t="str">
        <f>PROPER(TRIM('raw data'!D230))</f>
        <v>Free/Reduced</v>
      </c>
      <c r="E230" s="7" t="str">
        <f>PROPER(TRIM('raw data'!E230))</f>
        <v>None</v>
      </c>
      <c r="F230" s="8">
        <v>68</v>
      </c>
      <c r="G230" s="8">
        <v>72</v>
      </c>
      <c r="H230" s="8">
        <v>64</v>
      </c>
      <c r="I230">
        <f t="shared" si="9"/>
        <v>204</v>
      </c>
      <c r="J230">
        <f t="shared" si="10"/>
        <v>68</v>
      </c>
      <c r="K230" s="7" t="str">
        <f t="shared" si="11"/>
        <v>pass</v>
      </c>
    </row>
    <row r="231" spans="1:11" x14ac:dyDescent="0.25">
      <c r="A231" t="str">
        <f>PROPER(TRIM('raw data'!A231))</f>
        <v>Female</v>
      </c>
      <c r="B231" t="str">
        <f>PROPER(TRIM('raw data'!B231))</f>
        <v>Group C</v>
      </c>
      <c r="C231" s="7" t="str">
        <f>PROPER(TRIM('raw data'!C231))</f>
        <v>Some College</v>
      </c>
      <c r="D231" s="7" t="str">
        <f>PROPER(TRIM('raw data'!D231))</f>
        <v>Standard</v>
      </c>
      <c r="E231" s="7" t="str">
        <f>PROPER(TRIM('raw data'!E231))</f>
        <v>Completed</v>
      </c>
      <c r="F231" s="8">
        <v>88</v>
      </c>
      <c r="G231" s="8">
        <v>95</v>
      </c>
      <c r="H231" s="8">
        <v>94</v>
      </c>
      <c r="I231">
        <f t="shared" si="9"/>
        <v>277</v>
      </c>
      <c r="J231">
        <f t="shared" si="10"/>
        <v>92.333333333333329</v>
      </c>
      <c r="K231" s="7" t="str">
        <f t="shared" si="11"/>
        <v>pass</v>
      </c>
    </row>
    <row r="232" spans="1:11" x14ac:dyDescent="0.25">
      <c r="A232" t="str">
        <f>PROPER(TRIM('raw data'!A232))</f>
        <v>Male</v>
      </c>
      <c r="B232" t="str">
        <f>PROPER(TRIM('raw data'!B232))</f>
        <v>Group D</v>
      </c>
      <c r="C232" s="7" t="str">
        <f>PROPER(TRIM('raw data'!C232))</f>
        <v>Some College</v>
      </c>
      <c r="D232" s="7" t="str">
        <f>PROPER(TRIM('raw data'!D232))</f>
        <v>Standard</v>
      </c>
      <c r="E232" s="7" t="str">
        <f>PROPER(TRIM('raw data'!E232))</f>
        <v>None</v>
      </c>
      <c r="F232" s="8">
        <v>76</v>
      </c>
      <c r="G232" s="8">
        <v>64</v>
      </c>
      <c r="H232" s="8">
        <v>66</v>
      </c>
      <c r="I232">
        <f t="shared" si="9"/>
        <v>206</v>
      </c>
      <c r="J232">
        <f t="shared" si="10"/>
        <v>68.666666666666671</v>
      </c>
      <c r="K232" s="7" t="str">
        <f t="shared" si="11"/>
        <v>pass</v>
      </c>
    </row>
    <row r="233" spans="1:11" x14ac:dyDescent="0.25">
      <c r="A233" t="str">
        <f>PROPER(TRIM('raw data'!A233))</f>
        <v>Male</v>
      </c>
      <c r="B233" t="str">
        <f>PROPER(TRIM('raw data'!B233))</f>
        <v>Group C</v>
      </c>
      <c r="C233" s="7" t="str">
        <f>PROPER(TRIM('raw data'!C233))</f>
        <v>Associate'S Degree</v>
      </c>
      <c r="D233" s="7" t="str">
        <f>PROPER(TRIM('raw data'!D233))</f>
        <v>Standard</v>
      </c>
      <c r="E233" s="7" t="str">
        <f>PROPER(TRIM('raw data'!E233))</f>
        <v>None</v>
      </c>
      <c r="F233" s="8">
        <v>46</v>
      </c>
      <c r="G233" s="8">
        <v>43</v>
      </c>
      <c r="H233" s="8">
        <v>42</v>
      </c>
      <c r="I233">
        <f t="shared" si="9"/>
        <v>131</v>
      </c>
      <c r="J233">
        <f t="shared" si="10"/>
        <v>43.666666666666664</v>
      </c>
      <c r="K233" s="7" t="str">
        <f t="shared" si="11"/>
        <v>pass</v>
      </c>
    </row>
    <row r="234" spans="1:11" x14ac:dyDescent="0.25">
      <c r="A234" t="str">
        <f>PROPER(TRIM('raw data'!A234))</f>
        <v>Female</v>
      </c>
      <c r="B234" t="str">
        <f>PROPER(TRIM('raw data'!B234))</f>
        <v>Group B</v>
      </c>
      <c r="C234" s="7" t="str">
        <f>PROPER(TRIM('raw data'!C234))</f>
        <v>Bachelor'S Degree</v>
      </c>
      <c r="D234" s="7" t="str">
        <f>PROPER(TRIM('raw data'!D234))</f>
        <v>Standard</v>
      </c>
      <c r="E234" s="7" t="str">
        <f>PROPER(TRIM('raw data'!E234))</f>
        <v>None</v>
      </c>
      <c r="F234" s="8">
        <v>67</v>
      </c>
      <c r="G234" s="8">
        <v>86</v>
      </c>
      <c r="H234" s="8">
        <v>83</v>
      </c>
      <c r="I234">
        <f t="shared" si="9"/>
        <v>236</v>
      </c>
      <c r="J234">
        <f t="shared" si="10"/>
        <v>78.666666666666671</v>
      </c>
      <c r="K234" s="7" t="str">
        <f t="shared" si="11"/>
        <v>pass</v>
      </c>
    </row>
    <row r="235" spans="1:11" x14ac:dyDescent="0.25">
      <c r="A235" t="str">
        <f>PROPER(TRIM('raw data'!A235))</f>
        <v>Male</v>
      </c>
      <c r="B235" t="str">
        <f>PROPER(TRIM('raw data'!B235))</f>
        <v>Group E</v>
      </c>
      <c r="C235" s="7" t="str">
        <f>PROPER(TRIM('raw data'!C235))</f>
        <v>Some High School</v>
      </c>
      <c r="D235" s="7" t="str">
        <f>PROPER(TRIM('raw data'!D235))</f>
        <v>Standard</v>
      </c>
      <c r="E235" s="7" t="str">
        <f>PROPER(TRIM('raw data'!E235))</f>
        <v>None</v>
      </c>
      <c r="F235" s="8">
        <v>92</v>
      </c>
      <c r="G235" s="8">
        <v>87</v>
      </c>
      <c r="H235" s="8">
        <v>78</v>
      </c>
      <c r="I235">
        <f t="shared" si="9"/>
        <v>257</v>
      </c>
      <c r="J235">
        <f t="shared" si="10"/>
        <v>85.666666666666671</v>
      </c>
      <c r="K235" s="7" t="str">
        <f t="shared" si="11"/>
        <v>pass</v>
      </c>
    </row>
    <row r="236" spans="1:11" x14ac:dyDescent="0.25">
      <c r="A236" t="str">
        <f>PROPER(TRIM('raw data'!A236))</f>
        <v>Male</v>
      </c>
      <c r="B236" t="str">
        <f>PROPER(TRIM('raw data'!B236))</f>
        <v>Group C</v>
      </c>
      <c r="C236" s="7" t="str">
        <f>PROPER(TRIM('raw data'!C236))</f>
        <v>Bachelor'S Degree</v>
      </c>
      <c r="D236" s="7" t="str">
        <f>PROPER(TRIM('raw data'!D236))</f>
        <v>Standard</v>
      </c>
      <c r="E236" s="7" t="str">
        <f>PROPER(TRIM('raw data'!E236))</f>
        <v>Completed</v>
      </c>
      <c r="F236" s="8">
        <v>83</v>
      </c>
      <c r="G236" s="8">
        <v>82</v>
      </c>
      <c r="H236" s="8">
        <v>84</v>
      </c>
      <c r="I236">
        <f t="shared" si="9"/>
        <v>249</v>
      </c>
      <c r="J236">
        <f t="shared" si="10"/>
        <v>83</v>
      </c>
      <c r="K236" s="7" t="str">
        <f t="shared" si="11"/>
        <v>pass</v>
      </c>
    </row>
    <row r="237" spans="1:11" x14ac:dyDescent="0.25">
      <c r="A237" t="str">
        <f>PROPER(TRIM('raw data'!A237))</f>
        <v>Male</v>
      </c>
      <c r="B237" t="str">
        <f>PROPER(TRIM('raw data'!B237))</f>
        <v>Group D</v>
      </c>
      <c r="C237" s="7" t="str">
        <f>PROPER(TRIM('raw data'!C237))</f>
        <v>Associate'S Degree</v>
      </c>
      <c r="D237" s="7" t="str">
        <f>PROPER(TRIM('raw data'!D237))</f>
        <v>Standard</v>
      </c>
      <c r="E237" s="7" t="str">
        <f>PROPER(TRIM('raw data'!E237))</f>
        <v>None</v>
      </c>
      <c r="F237" s="8">
        <v>80</v>
      </c>
      <c r="G237" s="8">
        <v>75</v>
      </c>
      <c r="H237" s="8">
        <v>77</v>
      </c>
      <c r="I237">
        <f t="shared" si="9"/>
        <v>232</v>
      </c>
      <c r="J237">
        <f t="shared" si="10"/>
        <v>77.333333333333329</v>
      </c>
      <c r="K237" s="7" t="str">
        <f t="shared" si="11"/>
        <v>pass</v>
      </c>
    </row>
    <row r="238" spans="1:11" x14ac:dyDescent="0.25">
      <c r="A238" t="str">
        <f>PROPER(TRIM('raw data'!A238))</f>
        <v>Male</v>
      </c>
      <c r="B238" t="str">
        <f>PROPER(TRIM('raw data'!B238))</f>
        <v>Group D</v>
      </c>
      <c r="C238" s="7" t="str">
        <f>PROPER(TRIM('raw data'!C238))</f>
        <v>Bachelor'S Degree</v>
      </c>
      <c r="D238" s="7" t="str">
        <f>PROPER(TRIM('raw data'!D238))</f>
        <v>Free/Reduced</v>
      </c>
      <c r="E238" s="7" t="str">
        <f>PROPER(TRIM('raw data'!E238))</f>
        <v>None</v>
      </c>
      <c r="F238" s="8">
        <v>63</v>
      </c>
      <c r="G238" s="8">
        <v>66</v>
      </c>
      <c r="H238" s="8">
        <v>67</v>
      </c>
      <c r="I238">
        <f t="shared" si="9"/>
        <v>196</v>
      </c>
      <c r="J238">
        <f t="shared" si="10"/>
        <v>65.333333333333329</v>
      </c>
      <c r="K238" s="7" t="str">
        <f t="shared" si="11"/>
        <v>pass</v>
      </c>
    </row>
    <row r="239" spans="1:11" x14ac:dyDescent="0.25">
      <c r="A239" t="str">
        <f>PROPER(TRIM('raw data'!A239))</f>
        <v>Female</v>
      </c>
      <c r="B239" t="str">
        <f>PROPER(TRIM('raw data'!B239))</f>
        <v>Group D</v>
      </c>
      <c r="C239" s="7" t="str">
        <f>PROPER(TRIM('raw data'!C239))</f>
        <v>Some High School</v>
      </c>
      <c r="D239" s="7" t="str">
        <f>PROPER(TRIM('raw data'!D239))</f>
        <v>Standard</v>
      </c>
      <c r="E239" s="7" t="str">
        <f>PROPER(TRIM('raw data'!E239))</f>
        <v>Completed</v>
      </c>
      <c r="F239" s="8">
        <v>64</v>
      </c>
      <c r="G239" s="8">
        <v>60</v>
      </c>
      <c r="H239" s="8">
        <v>74</v>
      </c>
      <c r="I239">
        <f t="shared" si="9"/>
        <v>198</v>
      </c>
      <c r="J239">
        <f t="shared" si="10"/>
        <v>66</v>
      </c>
      <c r="K239" s="7" t="str">
        <f t="shared" si="11"/>
        <v>pass</v>
      </c>
    </row>
    <row r="240" spans="1:11" x14ac:dyDescent="0.25">
      <c r="A240" t="str">
        <f>PROPER(TRIM('raw data'!A240))</f>
        <v>Male</v>
      </c>
      <c r="B240" t="str">
        <f>PROPER(TRIM('raw data'!B240))</f>
        <v>Group B</v>
      </c>
      <c r="C240" s="7" t="str">
        <f>PROPER(TRIM('raw data'!C240))</f>
        <v>Some College</v>
      </c>
      <c r="D240" s="7" t="str">
        <f>PROPER(TRIM('raw data'!D240))</f>
        <v>Standard</v>
      </c>
      <c r="E240" s="7" t="str">
        <f>PROPER(TRIM('raw data'!E240))</f>
        <v>None</v>
      </c>
      <c r="F240" s="8">
        <v>54</v>
      </c>
      <c r="G240" s="8">
        <v>52</v>
      </c>
      <c r="H240" s="8">
        <v>51</v>
      </c>
      <c r="I240">
        <f t="shared" si="9"/>
        <v>157</v>
      </c>
      <c r="J240">
        <f t="shared" si="10"/>
        <v>52.333333333333336</v>
      </c>
      <c r="K240" s="7" t="str">
        <f t="shared" si="11"/>
        <v>pass</v>
      </c>
    </row>
    <row r="241" spans="1:11" x14ac:dyDescent="0.25">
      <c r="A241" t="str">
        <f>PROPER(TRIM('raw data'!A241))</f>
        <v>Male</v>
      </c>
      <c r="B241" t="str">
        <f>PROPER(TRIM('raw data'!B241))</f>
        <v>Group C</v>
      </c>
      <c r="C241" s="7" t="str">
        <f>PROPER(TRIM('raw data'!C241))</f>
        <v>Associate'S Degree</v>
      </c>
      <c r="D241" s="7" t="str">
        <f>PROPER(TRIM('raw data'!D241))</f>
        <v>Standard</v>
      </c>
      <c r="E241" s="7" t="str">
        <f>PROPER(TRIM('raw data'!E241))</f>
        <v>None</v>
      </c>
      <c r="F241" s="8">
        <v>84</v>
      </c>
      <c r="G241" s="8">
        <v>80</v>
      </c>
      <c r="H241" s="8">
        <v>80</v>
      </c>
      <c r="I241">
        <f t="shared" si="9"/>
        <v>244</v>
      </c>
      <c r="J241">
        <f t="shared" si="10"/>
        <v>81.333333333333329</v>
      </c>
      <c r="K241" s="7" t="str">
        <f t="shared" si="11"/>
        <v>pass</v>
      </c>
    </row>
    <row r="242" spans="1:11" x14ac:dyDescent="0.25">
      <c r="A242" t="str">
        <f>PROPER(TRIM('raw data'!A242))</f>
        <v>Male</v>
      </c>
      <c r="B242" t="str">
        <f>PROPER(TRIM('raw data'!B242))</f>
        <v>Group D</v>
      </c>
      <c r="C242" s="7" t="str">
        <f>PROPER(TRIM('raw data'!C242))</f>
        <v>High School</v>
      </c>
      <c r="D242" s="7" t="str">
        <f>PROPER(TRIM('raw data'!D242))</f>
        <v>Free/Reduced</v>
      </c>
      <c r="E242" s="7" t="str">
        <f>PROPER(TRIM('raw data'!E242))</f>
        <v>Completed</v>
      </c>
      <c r="F242" s="8">
        <v>73</v>
      </c>
      <c r="G242" s="8">
        <v>68</v>
      </c>
      <c r="H242" s="8">
        <v>66</v>
      </c>
      <c r="I242">
        <f t="shared" si="9"/>
        <v>207</v>
      </c>
      <c r="J242">
        <f t="shared" si="10"/>
        <v>69</v>
      </c>
      <c r="K242" s="7" t="str">
        <f t="shared" si="11"/>
        <v>pass</v>
      </c>
    </row>
    <row r="243" spans="1:11" x14ac:dyDescent="0.25">
      <c r="A243" t="str">
        <f>PROPER(TRIM('raw data'!A243))</f>
        <v>Female</v>
      </c>
      <c r="B243" t="str">
        <f>PROPER(TRIM('raw data'!B243))</f>
        <v>Group E</v>
      </c>
      <c r="C243" s="7" t="str">
        <f>PROPER(TRIM('raw data'!C243))</f>
        <v>Bachelor'S Degree</v>
      </c>
      <c r="D243" s="7" t="str">
        <f>PROPER(TRIM('raw data'!D243))</f>
        <v>Standard</v>
      </c>
      <c r="E243" s="7" t="str">
        <f>PROPER(TRIM('raw data'!E243))</f>
        <v>None</v>
      </c>
      <c r="F243" s="8">
        <v>80</v>
      </c>
      <c r="G243" s="8">
        <v>83</v>
      </c>
      <c r="H243" s="8">
        <v>83</v>
      </c>
      <c r="I243">
        <f t="shared" si="9"/>
        <v>246</v>
      </c>
      <c r="J243">
        <f t="shared" si="10"/>
        <v>82</v>
      </c>
      <c r="K243" s="7" t="str">
        <f t="shared" si="11"/>
        <v>pass</v>
      </c>
    </row>
    <row r="244" spans="1:11" x14ac:dyDescent="0.25">
      <c r="A244" t="str">
        <f>PROPER(TRIM('raw data'!A244))</f>
        <v>Female</v>
      </c>
      <c r="B244" t="str">
        <f>PROPER(TRIM('raw data'!B244))</f>
        <v>Group D</v>
      </c>
      <c r="C244" s="7" t="str">
        <f>PROPER(TRIM('raw data'!C244))</f>
        <v>High School</v>
      </c>
      <c r="D244" s="7" t="str">
        <f>PROPER(TRIM('raw data'!D244))</f>
        <v>Standard</v>
      </c>
      <c r="E244" s="7" t="str">
        <f>PROPER(TRIM('raw data'!E244))</f>
        <v>None</v>
      </c>
      <c r="F244" s="8">
        <v>56</v>
      </c>
      <c r="G244" s="8">
        <v>52</v>
      </c>
      <c r="H244" s="8">
        <v>55</v>
      </c>
      <c r="I244">
        <f t="shared" si="9"/>
        <v>163</v>
      </c>
      <c r="J244">
        <f t="shared" si="10"/>
        <v>54.333333333333336</v>
      </c>
      <c r="K244" s="7" t="str">
        <f t="shared" si="11"/>
        <v>pass</v>
      </c>
    </row>
    <row r="245" spans="1:11" x14ac:dyDescent="0.25">
      <c r="A245" t="str">
        <f>PROPER(TRIM('raw data'!A245))</f>
        <v>Male</v>
      </c>
      <c r="B245" t="str">
        <f>PROPER(TRIM('raw data'!B245))</f>
        <v>Group E</v>
      </c>
      <c r="C245" s="7" t="str">
        <f>PROPER(TRIM('raw data'!C245))</f>
        <v>Some College</v>
      </c>
      <c r="D245" s="7" t="str">
        <f>PROPER(TRIM('raw data'!D245))</f>
        <v>Standard</v>
      </c>
      <c r="E245" s="7" t="str">
        <f>PROPER(TRIM('raw data'!E245))</f>
        <v>None</v>
      </c>
      <c r="F245" s="8">
        <v>59</v>
      </c>
      <c r="G245" s="8">
        <v>51</v>
      </c>
      <c r="H245" s="8">
        <v>43</v>
      </c>
      <c r="I245">
        <f t="shared" si="9"/>
        <v>153</v>
      </c>
      <c r="J245">
        <f t="shared" si="10"/>
        <v>51</v>
      </c>
      <c r="K245" s="7" t="str">
        <f t="shared" si="11"/>
        <v>pass</v>
      </c>
    </row>
    <row r="246" spans="1:11" x14ac:dyDescent="0.25">
      <c r="A246" t="str">
        <f>PROPER(TRIM('raw data'!A246))</f>
        <v>Male</v>
      </c>
      <c r="B246" t="str">
        <f>PROPER(TRIM('raw data'!B246))</f>
        <v>Group D</v>
      </c>
      <c r="C246" s="7" t="str">
        <f>PROPER(TRIM('raw data'!C246))</f>
        <v>Some High School</v>
      </c>
      <c r="D246" s="7" t="str">
        <f>PROPER(TRIM('raw data'!D246))</f>
        <v>Standard</v>
      </c>
      <c r="E246" s="7" t="str">
        <f>PROPER(TRIM('raw data'!E246))</f>
        <v>None</v>
      </c>
      <c r="F246" s="8">
        <v>75</v>
      </c>
      <c r="G246" s="8">
        <v>74</v>
      </c>
      <c r="H246" s="8">
        <v>69</v>
      </c>
      <c r="I246">
        <f t="shared" si="9"/>
        <v>218</v>
      </c>
      <c r="J246">
        <f t="shared" si="10"/>
        <v>72.666666666666671</v>
      </c>
      <c r="K246" s="7" t="str">
        <f t="shared" si="11"/>
        <v>pass</v>
      </c>
    </row>
    <row r="247" spans="1:11" x14ac:dyDescent="0.25">
      <c r="A247" t="str">
        <f>PROPER(TRIM('raw data'!A247))</f>
        <v>Male</v>
      </c>
      <c r="B247" t="str">
        <f>PROPER(TRIM('raw data'!B247))</f>
        <v>Group C</v>
      </c>
      <c r="C247" s="7" t="str">
        <f>PROPER(TRIM('raw data'!C247))</f>
        <v>Associate'S Degree</v>
      </c>
      <c r="D247" s="7" t="str">
        <f>PROPER(TRIM('raw data'!D247))</f>
        <v>Standard</v>
      </c>
      <c r="E247" s="7" t="str">
        <f>PROPER(TRIM('raw data'!E247))</f>
        <v>None</v>
      </c>
      <c r="F247" s="8">
        <v>85</v>
      </c>
      <c r="G247" s="8">
        <v>76</v>
      </c>
      <c r="H247" s="8">
        <v>71</v>
      </c>
      <c r="I247">
        <f t="shared" si="9"/>
        <v>232</v>
      </c>
      <c r="J247">
        <f t="shared" si="10"/>
        <v>77.333333333333329</v>
      </c>
      <c r="K247" s="7" t="str">
        <f t="shared" si="11"/>
        <v>pass</v>
      </c>
    </row>
    <row r="248" spans="1:11" x14ac:dyDescent="0.25">
      <c r="A248" t="str">
        <f>PROPER(TRIM('raw data'!A248))</f>
        <v>Male</v>
      </c>
      <c r="B248" t="str">
        <f>PROPER(TRIM('raw data'!B248))</f>
        <v>Group E</v>
      </c>
      <c r="C248" s="7" t="str">
        <f>PROPER(TRIM('raw data'!C248))</f>
        <v>Associate'S Degree</v>
      </c>
      <c r="D248" s="7" t="str">
        <f>PROPER(TRIM('raw data'!D248))</f>
        <v>Standard</v>
      </c>
      <c r="E248" s="7" t="str">
        <f>PROPER(TRIM('raw data'!E248))</f>
        <v>None</v>
      </c>
      <c r="F248" s="8">
        <v>89</v>
      </c>
      <c r="G248" s="8">
        <v>76</v>
      </c>
      <c r="H248" s="8">
        <v>74</v>
      </c>
      <c r="I248">
        <f t="shared" si="9"/>
        <v>239</v>
      </c>
      <c r="J248">
        <f t="shared" si="10"/>
        <v>79.666666666666671</v>
      </c>
      <c r="K248" s="7" t="str">
        <f t="shared" si="11"/>
        <v>pass</v>
      </c>
    </row>
    <row r="249" spans="1:11" x14ac:dyDescent="0.25">
      <c r="A249" t="str">
        <f>PROPER(TRIM('raw data'!A249))</f>
        <v>Female</v>
      </c>
      <c r="B249" t="str">
        <f>PROPER(TRIM('raw data'!B249))</f>
        <v>Group B</v>
      </c>
      <c r="C249" s="7" t="str">
        <f>PROPER(TRIM('raw data'!C249))</f>
        <v>High School</v>
      </c>
      <c r="D249" s="7" t="str">
        <f>PROPER(TRIM('raw data'!D249))</f>
        <v>Standard</v>
      </c>
      <c r="E249" s="7" t="str">
        <f>PROPER(TRIM('raw data'!E249))</f>
        <v>Completed</v>
      </c>
      <c r="F249" s="8">
        <v>58</v>
      </c>
      <c r="G249" s="8">
        <v>70</v>
      </c>
      <c r="H249" s="8">
        <v>68</v>
      </c>
      <c r="I249">
        <f t="shared" si="9"/>
        <v>196</v>
      </c>
      <c r="J249">
        <f t="shared" si="10"/>
        <v>65.333333333333329</v>
      </c>
      <c r="K249" s="7" t="str">
        <f t="shared" si="11"/>
        <v>pass</v>
      </c>
    </row>
    <row r="250" spans="1:11" x14ac:dyDescent="0.25">
      <c r="A250" t="str">
        <f>PROPER(TRIM('raw data'!A250))</f>
        <v>Female</v>
      </c>
      <c r="B250" t="str">
        <f>PROPER(TRIM('raw data'!B250))</f>
        <v>Group B</v>
      </c>
      <c r="C250" s="7" t="str">
        <f>PROPER(TRIM('raw data'!C250))</f>
        <v>High School</v>
      </c>
      <c r="D250" s="7" t="str">
        <f>PROPER(TRIM('raw data'!D250))</f>
        <v>Standard</v>
      </c>
      <c r="E250" s="7" t="str">
        <f>PROPER(TRIM('raw data'!E250))</f>
        <v>None</v>
      </c>
      <c r="F250" s="8">
        <v>65</v>
      </c>
      <c r="G250" s="8">
        <v>64</v>
      </c>
      <c r="H250" s="8">
        <v>62</v>
      </c>
      <c r="I250">
        <f t="shared" si="9"/>
        <v>191</v>
      </c>
      <c r="J250">
        <f t="shared" si="10"/>
        <v>63.666666666666664</v>
      </c>
      <c r="K250" s="7" t="str">
        <f t="shared" si="11"/>
        <v>pass</v>
      </c>
    </row>
    <row r="251" spans="1:11" x14ac:dyDescent="0.25">
      <c r="A251" t="str">
        <f>PROPER(TRIM('raw data'!A251))</f>
        <v>Male</v>
      </c>
      <c r="B251" t="str">
        <f>PROPER(TRIM('raw data'!B251))</f>
        <v>Group C</v>
      </c>
      <c r="C251" s="7" t="str">
        <f>PROPER(TRIM('raw data'!C251))</f>
        <v>High School</v>
      </c>
      <c r="D251" s="7" t="str">
        <f>PROPER(TRIM('raw data'!D251))</f>
        <v>Standard</v>
      </c>
      <c r="E251" s="7" t="str">
        <f>PROPER(TRIM('raw data'!E251))</f>
        <v>None</v>
      </c>
      <c r="F251" s="8">
        <v>68</v>
      </c>
      <c r="G251" s="8">
        <v>60</v>
      </c>
      <c r="H251" s="8">
        <v>53</v>
      </c>
      <c r="I251">
        <f t="shared" si="9"/>
        <v>181</v>
      </c>
      <c r="J251">
        <f t="shared" si="10"/>
        <v>60.333333333333336</v>
      </c>
      <c r="K251" s="7" t="str">
        <f t="shared" si="11"/>
        <v>pass</v>
      </c>
    </row>
    <row r="252" spans="1:11" x14ac:dyDescent="0.25">
      <c r="A252" t="str">
        <f>PROPER(TRIM('raw data'!A252))</f>
        <v>Male</v>
      </c>
      <c r="B252" t="str">
        <f>PROPER(TRIM('raw data'!B252))</f>
        <v>Group A</v>
      </c>
      <c r="C252" s="7" t="str">
        <f>PROPER(TRIM('raw data'!C252))</f>
        <v>Some High School</v>
      </c>
      <c r="D252" s="7" t="str">
        <f>PROPER(TRIM('raw data'!D252))</f>
        <v>Standard</v>
      </c>
      <c r="E252" s="7" t="str">
        <f>PROPER(TRIM('raw data'!E252))</f>
        <v>Completed</v>
      </c>
      <c r="F252" s="8">
        <v>47</v>
      </c>
      <c r="G252" s="8">
        <v>49</v>
      </c>
      <c r="H252" s="8">
        <v>49</v>
      </c>
      <c r="I252">
        <f t="shared" si="9"/>
        <v>145</v>
      </c>
      <c r="J252">
        <f t="shared" si="10"/>
        <v>48.333333333333336</v>
      </c>
      <c r="K252" s="7" t="str">
        <f t="shared" si="11"/>
        <v>pass</v>
      </c>
    </row>
    <row r="253" spans="1:11" x14ac:dyDescent="0.25">
      <c r="A253" t="str">
        <f>PROPER(TRIM('raw data'!A253))</f>
        <v>Female</v>
      </c>
      <c r="B253" t="str">
        <f>PROPER(TRIM('raw data'!B253))</f>
        <v>Group D</v>
      </c>
      <c r="C253" s="7" t="str">
        <f>PROPER(TRIM('raw data'!C253))</f>
        <v>Some College</v>
      </c>
      <c r="D253" s="7" t="str">
        <f>PROPER(TRIM('raw data'!D253))</f>
        <v>Free/Reduced</v>
      </c>
      <c r="E253" s="7" t="str">
        <f>PROPER(TRIM('raw data'!E253))</f>
        <v>None</v>
      </c>
      <c r="F253" s="8">
        <v>71</v>
      </c>
      <c r="G253" s="8">
        <v>83</v>
      </c>
      <c r="H253" s="8">
        <v>83</v>
      </c>
      <c r="I253">
        <f t="shared" si="9"/>
        <v>237</v>
      </c>
      <c r="J253">
        <f t="shared" si="10"/>
        <v>79</v>
      </c>
      <c r="K253" s="7" t="str">
        <f t="shared" si="11"/>
        <v>pass</v>
      </c>
    </row>
    <row r="254" spans="1:11" x14ac:dyDescent="0.25">
      <c r="A254" t="str">
        <f>PROPER(TRIM('raw data'!A254))</f>
        <v>Female</v>
      </c>
      <c r="B254" t="str">
        <f>PROPER(TRIM('raw data'!B254))</f>
        <v>Group B</v>
      </c>
      <c r="C254" s="7" t="str">
        <f>PROPER(TRIM('raw data'!C254))</f>
        <v>Some High School</v>
      </c>
      <c r="D254" s="7" t="str">
        <f>PROPER(TRIM('raw data'!D254))</f>
        <v>Standard</v>
      </c>
      <c r="E254" s="7" t="str">
        <f>PROPER(TRIM('raw data'!E254))</f>
        <v>Completed</v>
      </c>
      <c r="F254" s="8">
        <v>60</v>
      </c>
      <c r="G254" s="8">
        <v>70</v>
      </c>
      <c r="H254" s="8">
        <v>70</v>
      </c>
      <c r="I254">
        <f t="shared" si="9"/>
        <v>200</v>
      </c>
      <c r="J254">
        <f t="shared" si="10"/>
        <v>66.666666666666671</v>
      </c>
      <c r="K254" s="7" t="str">
        <f t="shared" si="11"/>
        <v>pass</v>
      </c>
    </row>
    <row r="255" spans="1:11" x14ac:dyDescent="0.25">
      <c r="A255" t="str">
        <f>PROPER(TRIM('raw data'!A255))</f>
        <v>Male</v>
      </c>
      <c r="B255" t="str">
        <f>PROPER(TRIM('raw data'!B255))</f>
        <v>Group D</v>
      </c>
      <c r="C255" s="7" t="str">
        <f>PROPER(TRIM('raw data'!C255))</f>
        <v>Master'S Degree</v>
      </c>
      <c r="D255" s="7" t="str">
        <f>PROPER(TRIM('raw data'!D255))</f>
        <v>Standard</v>
      </c>
      <c r="E255" s="7" t="str">
        <f>PROPER(TRIM('raw data'!E255))</f>
        <v>None</v>
      </c>
      <c r="F255" s="8">
        <v>80</v>
      </c>
      <c r="G255" s="8">
        <v>80</v>
      </c>
      <c r="H255" s="8">
        <v>72</v>
      </c>
      <c r="I255">
        <f t="shared" si="9"/>
        <v>232</v>
      </c>
      <c r="J255">
        <f t="shared" si="10"/>
        <v>77.333333333333329</v>
      </c>
      <c r="K255" s="7" t="str">
        <f t="shared" si="11"/>
        <v>pass</v>
      </c>
    </row>
    <row r="256" spans="1:11" x14ac:dyDescent="0.25">
      <c r="A256" t="str">
        <f>PROPER(TRIM('raw data'!A256))</f>
        <v>Male</v>
      </c>
      <c r="B256" t="str">
        <f>PROPER(TRIM('raw data'!B256))</f>
        <v>Group D</v>
      </c>
      <c r="C256" s="7" t="str">
        <f>PROPER(TRIM('raw data'!C256))</f>
        <v>High School</v>
      </c>
      <c r="D256" s="7" t="str">
        <f>PROPER(TRIM('raw data'!D256))</f>
        <v>Standard</v>
      </c>
      <c r="E256" s="7" t="str">
        <f>PROPER(TRIM('raw data'!E256))</f>
        <v>None</v>
      </c>
      <c r="F256" s="8">
        <v>54</v>
      </c>
      <c r="G256" s="8">
        <v>52</v>
      </c>
      <c r="H256" s="8">
        <v>52</v>
      </c>
      <c r="I256">
        <f t="shared" si="9"/>
        <v>158</v>
      </c>
      <c r="J256">
        <f t="shared" si="10"/>
        <v>52.666666666666664</v>
      </c>
      <c r="K256" s="7" t="str">
        <f t="shared" si="11"/>
        <v>pass</v>
      </c>
    </row>
    <row r="257" spans="1:11" x14ac:dyDescent="0.25">
      <c r="A257" t="str">
        <f>PROPER(TRIM('raw data'!A257))</f>
        <v>Female</v>
      </c>
      <c r="B257" t="str">
        <f>PROPER(TRIM('raw data'!B257))</f>
        <v>Group E</v>
      </c>
      <c r="C257" s="7" t="str">
        <f>PROPER(TRIM('raw data'!C257))</f>
        <v>Some College</v>
      </c>
      <c r="D257" s="7" t="str">
        <f>PROPER(TRIM('raw data'!D257))</f>
        <v>Standard</v>
      </c>
      <c r="E257" s="7" t="str">
        <f>PROPER(TRIM('raw data'!E257))</f>
        <v>None</v>
      </c>
      <c r="F257" s="8">
        <v>62</v>
      </c>
      <c r="G257" s="8">
        <v>73</v>
      </c>
      <c r="H257" s="8">
        <v>70</v>
      </c>
      <c r="I257">
        <f t="shared" si="9"/>
        <v>205</v>
      </c>
      <c r="J257">
        <f t="shared" si="10"/>
        <v>68.333333333333329</v>
      </c>
      <c r="K257" s="7" t="str">
        <f t="shared" si="11"/>
        <v>pass</v>
      </c>
    </row>
    <row r="258" spans="1:11" x14ac:dyDescent="0.25">
      <c r="A258" t="str">
        <f>PROPER(TRIM('raw data'!A258))</f>
        <v>Female</v>
      </c>
      <c r="B258" t="str">
        <f>PROPER(TRIM('raw data'!B258))</f>
        <v>Group C</v>
      </c>
      <c r="C258" s="7" t="str">
        <f>PROPER(TRIM('raw data'!C258))</f>
        <v>Associate'S Degree</v>
      </c>
      <c r="D258" s="7" t="str">
        <f>PROPER(TRIM('raw data'!D258))</f>
        <v>Free/Reduced</v>
      </c>
      <c r="E258" s="7" t="str">
        <f>PROPER(TRIM('raw data'!E258))</f>
        <v>None</v>
      </c>
      <c r="F258" s="8">
        <v>64</v>
      </c>
      <c r="G258" s="8">
        <v>73</v>
      </c>
      <c r="H258" s="8">
        <v>68</v>
      </c>
      <c r="I258">
        <f t="shared" si="9"/>
        <v>205</v>
      </c>
      <c r="J258">
        <f t="shared" si="10"/>
        <v>68.333333333333329</v>
      </c>
      <c r="K258" s="7" t="str">
        <f t="shared" si="11"/>
        <v>pass</v>
      </c>
    </row>
    <row r="259" spans="1:11" x14ac:dyDescent="0.25">
      <c r="A259" t="str">
        <f>PROPER(TRIM('raw data'!A259))</f>
        <v>Male</v>
      </c>
      <c r="B259" t="str">
        <f>PROPER(TRIM('raw data'!B259))</f>
        <v>Group C</v>
      </c>
      <c r="C259" s="7" t="str">
        <f>PROPER(TRIM('raw data'!C259))</f>
        <v>Associate'S Degree</v>
      </c>
      <c r="D259" s="7" t="str">
        <f>PROPER(TRIM('raw data'!D259))</f>
        <v>Standard</v>
      </c>
      <c r="E259" s="7" t="str">
        <f>PROPER(TRIM('raw data'!E259))</f>
        <v>Completed</v>
      </c>
      <c r="F259" s="8">
        <v>78</v>
      </c>
      <c r="G259" s="8">
        <v>77</v>
      </c>
      <c r="H259" s="8">
        <v>77</v>
      </c>
      <c r="I259">
        <f t="shared" ref="I259:I322" si="12">F259+G259+H259</f>
        <v>232</v>
      </c>
      <c r="J259">
        <f t="shared" ref="J259:J322" si="13">I259/3</f>
        <v>77.333333333333329</v>
      </c>
      <c r="K259" s="7" t="str">
        <f t="shared" ref="K259:K322" si="14">IF(J259&gt;=40,"pass","fail")</f>
        <v>pass</v>
      </c>
    </row>
    <row r="260" spans="1:11" x14ac:dyDescent="0.25">
      <c r="A260" t="str">
        <f>PROPER(TRIM('raw data'!A260))</f>
        <v>Female</v>
      </c>
      <c r="B260" t="str">
        <f>PROPER(TRIM('raw data'!B260))</f>
        <v>Group B</v>
      </c>
      <c r="C260" s="7" t="str">
        <f>PROPER(TRIM('raw data'!C260))</f>
        <v>Some College</v>
      </c>
      <c r="D260" s="7" t="str">
        <f>PROPER(TRIM('raw data'!D260))</f>
        <v>Standard</v>
      </c>
      <c r="E260" s="7" t="str">
        <f>PROPER(TRIM('raw data'!E260))</f>
        <v>None</v>
      </c>
      <c r="F260" s="8">
        <v>70</v>
      </c>
      <c r="G260" s="8">
        <v>75</v>
      </c>
      <c r="H260" s="8">
        <v>78</v>
      </c>
      <c r="I260">
        <f t="shared" si="12"/>
        <v>223</v>
      </c>
      <c r="J260">
        <f t="shared" si="13"/>
        <v>74.333333333333329</v>
      </c>
      <c r="K260" s="7" t="str">
        <f t="shared" si="14"/>
        <v>pass</v>
      </c>
    </row>
    <row r="261" spans="1:11" x14ac:dyDescent="0.25">
      <c r="A261" t="str">
        <f>PROPER(TRIM('raw data'!A261))</f>
        <v>Female</v>
      </c>
      <c r="B261" t="str">
        <f>PROPER(TRIM('raw data'!B261))</f>
        <v>Group C</v>
      </c>
      <c r="C261" s="7" t="str">
        <f>PROPER(TRIM('raw data'!C261))</f>
        <v>Master'S Degree</v>
      </c>
      <c r="D261" s="7" t="str">
        <f>PROPER(TRIM('raw data'!D261))</f>
        <v>Free/Reduced</v>
      </c>
      <c r="E261" s="7" t="str">
        <f>PROPER(TRIM('raw data'!E261))</f>
        <v>Completed</v>
      </c>
      <c r="F261" s="8">
        <v>65</v>
      </c>
      <c r="G261" s="8">
        <v>81</v>
      </c>
      <c r="H261" s="8">
        <v>81</v>
      </c>
      <c r="I261">
        <f t="shared" si="12"/>
        <v>227</v>
      </c>
      <c r="J261">
        <f t="shared" si="13"/>
        <v>75.666666666666671</v>
      </c>
      <c r="K261" s="7" t="str">
        <f t="shared" si="14"/>
        <v>pass</v>
      </c>
    </row>
    <row r="262" spans="1:11" x14ac:dyDescent="0.25">
      <c r="A262" t="str">
        <f>PROPER(TRIM('raw data'!A262))</f>
        <v>Female</v>
      </c>
      <c r="B262" t="str">
        <f>PROPER(TRIM('raw data'!B262))</f>
        <v>Group C</v>
      </c>
      <c r="C262" s="7" t="str">
        <f>PROPER(TRIM('raw data'!C262))</f>
        <v>Some High School</v>
      </c>
      <c r="D262" s="7" t="str">
        <f>PROPER(TRIM('raw data'!D262))</f>
        <v>Free/Reduced</v>
      </c>
      <c r="E262" s="7" t="str">
        <f>PROPER(TRIM('raw data'!E262))</f>
        <v>Completed</v>
      </c>
      <c r="F262" s="8">
        <v>64</v>
      </c>
      <c r="G262" s="8">
        <v>79</v>
      </c>
      <c r="H262" s="8">
        <v>77</v>
      </c>
      <c r="I262">
        <f t="shared" si="12"/>
        <v>220</v>
      </c>
      <c r="J262">
        <f t="shared" si="13"/>
        <v>73.333333333333329</v>
      </c>
      <c r="K262" s="7" t="str">
        <f t="shared" si="14"/>
        <v>pass</v>
      </c>
    </row>
    <row r="263" spans="1:11" x14ac:dyDescent="0.25">
      <c r="A263" t="str">
        <f>PROPER(TRIM('raw data'!A263))</f>
        <v>Male</v>
      </c>
      <c r="B263" t="str">
        <f>PROPER(TRIM('raw data'!B263))</f>
        <v>Group C</v>
      </c>
      <c r="C263" s="7" t="str">
        <f>PROPER(TRIM('raw data'!C263))</f>
        <v>Some College</v>
      </c>
      <c r="D263" s="7" t="str">
        <f>PROPER(TRIM('raw data'!D263))</f>
        <v>Standard</v>
      </c>
      <c r="E263" s="7" t="str">
        <f>PROPER(TRIM('raw data'!E263))</f>
        <v>Completed</v>
      </c>
      <c r="F263" s="8">
        <v>79</v>
      </c>
      <c r="G263" s="8">
        <v>79</v>
      </c>
      <c r="H263" s="8">
        <v>78</v>
      </c>
      <c r="I263">
        <f t="shared" si="12"/>
        <v>236</v>
      </c>
      <c r="J263">
        <f t="shared" si="13"/>
        <v>78.666666666666671</v>
      </c>
      <c r="K263" s="7" t="str">
        <f t="shared" si="14"/>
        <v>pass</v>
      </c>
    </row>
    <row r="264" spans="1:11" x14ac:dyDescent="0.25">
      <c r="A264" t="str">
        <f>PROPER(TRIM('raw data'!A264))</f>
        <v>Female</v>
      </c>
      <c r="B264" t="str">
        <f>PROPER(TRIM('raw data'!B264))</f>
        <v>Group C</v>
      </c>
      <c r="C264" s="7" t="str">
        <f>PROPER(TRIM('raw data'!C264))</f>
        <v>Some High School</v>
      </c>
      <c r="D264" s="7" t="str">
        <f>PROPER(TRIM('raw data'!D264))</f>
        <v>Free/Reduced</v>
      </c>
      <c r="E264" s="7" t="str">
        <f>PROPER(TRIM('raw data'!E264))</f>
        <v>None</v>
      </c>
      <c r="F264" s="8">
        <v>44</v>
      </c>
      <c r="G264" s="8">
        <v>50</v>
      </c>
      <c r="H264" s="8">
        <v>51</v>
      </c>
      <c r="I264">
        <f t="shared" si="12"/>
        <v>145</v>
      </c>
      <c r="J264">
        <f t="shared" si="13"/>
        <v>48.333333333333336</v>
      </c>
      <c r="K264" s="7" t="str">
        <f t="shared" si="14"/>
        <v>pass</v>
      </c>
    </row>
    <row r="265" spans="1:11" x14ac:dyDescent="0.25">
      <c r="A265" t="str">
        <f>PROPER(TRIM('raw data'!A265))</f>
        <v>Female</v>
      </c>
      <c r="B265" t="str">
        <f>PROPER(TRIM('raw data'!B265))</f>
        <v>Group E</v>
      </c>
      <c r="C265" s="7" t="str">
        <f>PROPER(TRIM('raw data'!C265))</f>
        <v>High School</v>
      </c>
      <c r="D265" s="7" t="str">
        <f>PROPER(TRIM('raw data'!D265))</f>
        <v>Standard</v>
      </c>
      <c r="E265" s="7" t="str">
        <f>PROPER(TRIM('raw data'!E265))</f>
        <v>None</v>
      </c>
      <c r="F265" s="8">
        <v>99</v>
      </c>
      <c r="G265" s="8">
        <v>93</v>
      </c>
      <c r="H265" s="8">
        <v>90</v>
      </c>
      <c r="I265">
        <f t="shared" si="12"/>
        <v>282</v>
      </c>
      <c r="J265">
        <f t="shared" si="13"/>
        <v>94</v>
      </c>
      <c r="K265" s="7" t="str">
        <f t="shared" si="14"/>
        <v>pass</v>
      </c>
    </row>
    <row r="266" spans="1:11" x14ac:dyDescent="0.25">
      <c r="A266" t="str">
        <f>PROPER(TRIM('raw data'!A266))</f>
        <v>Male</v>
      </c>
      <c r="B266" t="str">
        <f>PROPER(TRIM('raw data'!B266))</f>
        <v>Group D</v>
      </c>
      <c r="C266" s="7" t="str">
        <f>PROPER(TRIM('raw data'!C266))</f>
        <v>High School</v>
      </c>
      <c r="D266" s="7" t="str">
        <f>PROPER(TRIM('raw data'!D266))</f>
        <v>Standard</v>
      </c>
      <c r="E266" s="7" t="str">
        <f>PROPER(TRIM('raw data'!E266))</f>
        <v>None</v>
      </c>
      <c r="F266" s="8">
        <v>76</v>
      </c>
      <c r="G266" s="8">
        <v>73</v>
      </c>
      <c r="H266" s="8">
        <v>68</v>
      </c>
      <c r="I266">
        <f t="shared" si="12"/>
        <v>217</v>
      </c>
      <c r="J266">
        <f t="shared" si="13"/>
        <v>72.333333333333329</v>
      </c>
      <c r="K266" s="7" t="str">
        <f t="shared" si="14"/>
        <v>pass</v>
      </c>
    </row>
    <row r="267" spans="1:11" x14ac:dyDescent="0.25">
      <c r="A267" t="str">
        <f>PROPER(TRIM('raw data'!A267))</f>
        <v>Male</v>
      </c>
      <c r="B267" t="str">
        <f>PROPER(TRIM('raw data'!B267))</f>
        <v>Group D</v>
      </c>
      <c r="C267" s="7" t="str">
        <f>PROPER(TRIM('raw data'!C267))</f>
        <v>Some High School</v>
      </c>
      <c r="D267" s="7" t="str">
        <f>PROPER(TRIM('raw data'!D267))</f>
        <v>Free/Reduced</v>
      </c>
      <c r="E267" s="7" t="str">
        <f>PROPER(TRIM('raw data'!E267))</f>
        <v>None</v>
      </c>
      <c r="F267" s="8">
        <v>59</v>
      </c>
      <c r="G267" s="8">
        <v>42</v>
      </c>
      <c r="H267" s="8">
        <v>41</v>
      </c>
      <c r="I267">
        <f t="shared" si="12"/>
        <v>142</v>
      </c>
      <c r="J267">
        <f t="shared" si="13"/>
        <v>47.333333333333336</v>
      </c>
      <c r="K267" s="7" t="str">
        <f t="shared" si="14"/>
        <v>pass</v>
      </c>
    </row>
    <row r="268" spans="1:11" x14ac:dyDescent="0.25">
      <c r="A268" t="str">
        <f>PROPER(TRIM('raw data'!A268))</f>
        <v>Female</v>
      </c>
      <c r="B268" t="str">
        <f>PROPER(TRIM('raw data'!B268))</f>
        <v>Group C</v>
      </c>
      <c r="C268" s="7" t="str">
        <f>PROPER(TRIM('raw data'!C268))</f>
        <v>Bachelor'S Degree</v>
      </c>
      <c r="D268" s="7" t="str">
        <f>PROPER(TRIM('raw data'!D268))</f>
        <v>Standard</v>
      </c>
      <c r="E268" s="7" t="str">
        <f>PROPER(TRIM('raw data'!E268))</f>
        <v>None</v>
      </c>
      <c r="F268" s="8">
        <v>63</v>
      </c>
      <c r="G268" s="8">
        <v>75</v>
      </c>
      <c r="H268" s="8">
        <v>81</v>
      </c>
      <c r="I268">
        <f t="shared" si="12"/>
        <v>219</v>
      </c>
      <c r="J268">
        <f t="shared" si="13"/>
        <v>73</v>
      </c>
      <c r="K268" s="7" t="str">
        <f t="shared" si="14"/>
        <v>pass</v>
      </c>
    </row>
    <row r="269" spans="1:11" x14ac:dyDescent="0.25">
      <c r="A269" t="str">
        <f>PROPER(TRIM('raw data'!A269))</f>
        <v>Female</v>
      </c>
      <c r="B269" t="str">
        <f>PROPER(TRIM('raw data'!B269))</f>
        <v>Group D</v>
      </c>
      <c r="C269" s="7" t="str">
        <f>PROPER(TRIM('raw data'!C269))</f>
        <v>High School</v>
      </c>
      <c r="D269" s="7" t="str">
        <f>PROPER(TRIM('raw data'!D269))</f>
        <v>Standard</v>
      </c>
      <c r="E269" s="7" t="str">
        <f>PROPER(TRIM('raw data'!E269))</f>
        <v>None</v>
      </c>
      <c r="F269" s="8">
        <v>69</v>
      </c>
      <c r="G269" s="8">
        <v>72</v>
      </c>
      <c r="H269" s="8">
        <v>77</v>
      </c>
      <c r="I269">
        <f t="shared" si="12"/>
        <v>218</v>
      </c>
      <c r="J269">
        <f t="shared" si="13"/>
        <v>72.666666666666671</v>
      </c>
      <c r="K269" s="7" t="str">
        <f t="shared" si="14"/>
        <v>pass</v>
      </c>
    </row>
    <row r="270" spans="1:11" x14ac:dyDescent="0.25">
      <c r="A270" t="str">
        <f>PROPER(TRIM('raw data'!A270))</f>
        <v>Female</v>
      </c>
      <c r="B270" t="str">
        <f>PROPER(TRIM('raw data'!B270))</f>
        <v>Group D</v>
      </c>
      <c r="C270" s="7" t="str">
        <f>PROPER(TRIM('raw data'!C270))</f>
        <v>Associate'S Degree</v>
      </c>
      <c r="D270" s="7" t="str">
        <f>PROPER(TRIM('raw data'!D270))</f>
        <v>Standard</v>
      </c>
      <c r="E270" s="7" t="str">
        <f>PROPER(TRIM('raw data'!E270))</f>
        <v>Completed</v>
      </c>
      <c r="F270" s="8">
        <v>88</v>
      </c>
      <c r="G270" s="8">
        <v>92</v>
      </c>
      <c r="H270" s="8">
        <v>95</v>
      </c>
      <c r="I270">
        <f t="shared" si="12"/>
        <v>275</v>
      </c>
      <c r="J270">
        <f t="shared" si="13"/>
        <v>91.666666666666671</v>
      </c>
      <c r="K270" s="7" t="str">
        <f t="shared" si="14"/>
        <v>pass</v>
      </c>
    </row>
    <row r="271" spans="1:11" x14ac:dyDescent="0.25">
      <c r="A271" t="str">
        <f>PROPER(TRIM('raw data'!A271))</f>
        <v>Female</v>
      </c>
      <c r="B271" t="str">
        <f>PROPER(TRIM('raw data'!B271))</f>
        <v>Group E</v>
      </c>
      <c r="C271" s="7" t="str">
        <f>PROPER(TRIM('raw data'!C271))</f>
        <v>Some College</v>
      </c>
      <c r="D271" s="7" t="str">
        <f>PROPER(TRIM('raw data'!D271))</f>
        <v>Free/Reduced</v>
      </c>
      <c r="E271" s="7" t="str">
        <f>PROPER(TRIM('raw data'!E271))</f>
        <v>None</v>
      </c>
      <c r="F271" s="8">
        <v>71</v>
      </c>
      <c r="G271" s="8">
        <v>76</v>
      </c>
      <c r="H271" s="8">
        <v>70</v>
      </c>
      <c r="I271">
        <f t="shared" si="12"/>
        <v>217</v>
      </c>
      <c r="J271">
        <f t="shared" si="13"/>
        <v>72.333333333333329</v>
      </c>
      <c r="K271" s="7" t="str">
        <f t="shared" si="14"/>
        <v>pass</v>
      </c>
    </row>
    <row r="272" spans="1:11" x14ac:dyDescent="0.25">
      <c r="A272" t="str">
        <f>PROPER(TRIM('raw data'!A272))</f>
        <v>Male</v>
      </c>
      <c r="B272" t="str">
        <f>PROPER(TRIM('raw data'!B272))</f>
        <v>Group C</v>
      </c>
      <c r="C272" s="7" t="str">
        <f>PROPER(TRIM('raw data'!C272))</f>
        <v>Bachelor'S Degree</v>
      </c>
      <c r="D272" s="7" t="str">
        <f>PROPER(TRIM('raw data'!D272))</f>
        <v>Standard</v>
      </c>
      <c r="E272" s="7" t="str">
        <f>PROPER(TRIM('raw data'!E272))</f>
        <v>None</v>
      </c>
      <c r="F272" s="8">
        <v>69</v>
      </c>
      <c r="G272" s="8">
        <v>63</v>
      </c>
      <c r="H272" s="8">
        <v>61</v>
      </c>
      <c r="I272">
        <f t="shared" si="12"/>
        <v>193</v>
      </c>
      <c r="J272">
        <f t="shared" si="13"/>
        <v>64.333333333333329</v>
      </c>
      <c r="K272" s="7" t="str">
        <f t="shared" si="14"/>
        <v>pass</v>
      </c>
    </row>
    <row r="273" spans="1:11" x14ac:dyDescent="0.25">
      <c r="A273" t="str">
        <f>PROPER(TRIM('raw data'!A273))</f>
        <v>Male</v>
      </c>
      <c r="B273" t="str">
        <f>PROPER(TRIM('raw data'!B273))</f>
        <v>Group C</v>
      </c>
      <c r="C273" s="7" t="str">
        <f>PROPER(TRIM('raw data'!C273))</f>
        <v>Some College</v>
      </c>
      <c r="D273" s="7" t="str">
        <f>PROPER(TRIM('raw data'!D273))</f>
        <v>Standard</v>
      </c>
      <c r="E273" s="7" t="str">
        <f>PROPER(TRIM('raw data'!E273))</f>
        <v>None</v>
      </c>
      <c r="F273" s="8">
        <v>58</v>
      </c>
      <c r="G273" s="8">
        <v>49</v>
      </c>
      <c r="H273" s="8">
        <v>42</v>
      </c>
      <c r="I273">
        <f t="shared" si="12"/>
        <v>149</v>
      </c>
      <c r="J273">
        <f t="shared" si="13"/>
        <v>49.666666666666664</v>
      </c>
      <c r="K273" s="7" t="str">
        <f t="shared" si="14"/>
        <v>pass</v>
      </c>
    </row>
    <row r="274" spans="1:11" x14ac:dyDescent="0.25">
      <c r="A274" t="str">
        <f>PROPER(TRIM('raw data'!A274))</f>
        <v>Female</v>
      </c>
      <c r="B274" t="str">
        <f>PROPER(TRIM('raw data'!B274))</f>
        <v>Group D</v>
      </c>
      <c r="C274" s="7" t="str">
        <f>PROPER(TRIM('raw data'!C274))</f>
        <v>Associate'S Degree</v>
      </c>
      <c r="D274" s="7" t="str">
        <f>PROPER(TRIM('raw data'!D274))</f>
        <v>Free/Reduced</v>
      </c>
      <c r="E274" s="7" t="str">
        <f>PROPER(TRIM('raw data'!E274))</f>
        <v>None</v>
      </c>
      <c r="F274" s="8">
        <v>47</v>
      </c>
      <c r="G274" s="8">
        <v>53</v>
      </c>
      <c r="H274" s="8">
        <v>58</v>
      </c>
      <c r="I274">
        <f t="shared" si="12"/>
        <v>158</v>
      </c>
      <c r="J274">
        <f t="shared" si="13"/>
        <v>52.666666666666664</v>
      </c>
      <c r="K274" s="7" t="str">
        <f t="shared" si="14"/>
        <v>pass</v>
      </c>
    </row>
    <row r="275" spans="1:11" x14ac:dyDescent="0.25">
      <c r="A275" t="str">
        <f>PROPER(TRIM('raw data'!A275))</f>
        <v>Female</v>
      </c>
      <c r="B275" t="str">
        <f>PROPER(TRIM('raw data'!B275))</f>
        <v>Group D</v>
      </c>
      <c r="C275" s="7" t="str">
        <f>PROPER(TRIM('raw data'!C275))</f>
        <v>Some College</v>
      </c>
      <c r="D275" s="7" t="str">
        <f>PROPER(TRIM('raw data'!D275))</f>
        <v>Standard</v>
      </c>
      <c r="E275" s="7" t="str">
        <f>PROPER(TRIM('raw data'!E275))</f>
        <v>None</v>
      </c>
      <c r="F275" s="8">
        <v>65</v>
      </c>
      <c r="G275" s="8">
        <v>70</v>
      </c>
      <c r="H275" s="8">
        <v>71</v>
      </c>
      <c r="I275">
        <f t="shared" si="12"/>
        <v>206</v>
      </c>
      <c r="J275">
        <f t="shared" si="13"/>
        <v>68.666666666666671</v>
      </c>
      <c r="K275" s="7" t="str">
        <f t="shared" si="14"/>
        <v>pass</v>
      </c>
    </row>
    <row r="276" spans="1:11" x14ac:dyDescent="0.25">
      <c r="A276" t="str">
        <f>PROPER(TRIM('raw data'!A276))</f>
        <v>Male</v>
      </c>
      <c r="B276" t="str">
        <f>PROPER(TRIM('raw data'!B276))</f>
        <v>Group B</v>
      </c>
      <c r="C276" s="7" t="str">
        <f>PROPER(TRIM('raw data'!C276))</f>
        <v>Some College</v>
      </c>
      <c r="D276" s="7" t="str">
        <f>PROPER(TRIM('raw data'!D276))</f>
        <v>Standard</v>
      </c>
      <c r="E276" s="7" t="str">
        <f>PROPER(TRIM('raw data'!E276))</f>
        <v>Completed</v>
      </c>
      <c r="F276" s="8">
        <v>88</v>
      </c>
      <c r="G276" s="8">
        <v>85</v>
      </c>
      <c r="H276" s="8">
        <v>76</v>
      </c>
      <c r="I276">
        <f t="shared" si="12"/>
        <v>249</v>
      </c>
      <c r="J276">
        <f t="shared" si="13"/>
        <v>83</v>
      </c>
      <c r="K276" s="7" t="str">
        <f t="shared" si="14"/>
        <v>pass</v>
      </c>
    </row>
    <row r="277" spans="1:11" x14ac:dyDescent="0.25">
      <c r="A277" t="str">
        <f>PROPER(TRIM('raw data'!A277))</f>
        <v>Male</v>
      </c>
      <c r="B277" t="str">
        <f>PROPER(TRIM('raw data'!B277))</f>
        <v>Group C</v>
      </c>
      <c r="C277" s="7" t="str">
        <f>PROPER(TRIM('raw data'!C277))</f>
        <v>Bachelor'S Degree</v>
      </c>
      <c r="D277" s="7" t="str">
        <f>PROPER(TRIM('raw data'!D277))</f>
        <v>Standard</v>
      </c>
      <c r="E277" s="7" t="str">
        <f>PROPER(TRIM('raw data'!E277))</f>
        <v>None</v>
      </c>
      <c r="F277" s="8">
        <v>83</v>
      </c>
      <c r="G277" s="8">
        <v>78</v>
      </c>
      <c r="H277" s="8">
        <v>73</v>
      </c>
      <c r="I277">
        <f t="shared" si="12"/>
        <v>234</v>
      </c>
      <c r="J277">
        <f t="shared" si="13"/>
        <v>78</v>
      </c>
      <c r="K277" s="7" t="str">
        <f t="shared" si="14"/>
        <v>pass</v>
      </c>
    </row>
    <row r="278" spans="1:11" x14ac:dyDescent="0.25">
      <c r="A278" t="str">
        <f>PROPER(TRIM('raw data'!A278))</f>
        <v>Female</v>
      </c>
      <c r="B278" t="str">
        <f>PROPER(TRIM('raw data'!B278))</f>
        <v>Group C</v>
      </c>
      <c r="C278" s="7" t="str">
        <f>PROPER(TRIM('raw data'!C278))</f>
        <v>Some High School</v>
      </c>
      <c r="D278" s="7" t="str">
        <f>PROPER(TRIM('raw data'!D278))</f>
        <v>Standard</v>
      </c>
      <c r="E278" s="7" t="str">
        <f>PROPER(TRIM('raw data'!E278))</f>
        <v>Completed</v>
      </c>
      <c r="F278" s="8">
        <v>85</v>
      </c>
      <c r="G278" s="8">
        <v>92</v>
      </c>
      <c r="H278" s="8">
        <v>93</v>
      </c>
      <c r="I278">
        <f t="shared" si="12"/>
        <v>270</v>
      </c>
      <c r="J278">
        <f t="shared" si="13"/>
        <v>90</v>
      </c>
      <c r="K278" s="7" t="str">
        <f t="shared" si="14"/>
        <v>pass</v>
      </c>
    </row>
    <row r="279" spans="1:11" x14ac:dyDescent="0.25">
      <c r="A279" t="str">
        <f>PROPER(TRIM('raw data'!A279))</f>
        <v>Female</v>
      </c>
      <c r="B279" t="str">
        <f>PROPER(TRIM('raw data'!B279))</f>
        <v>Group E</v>
      </c>
      <c r="C279" s="7" t="str">
        <f>PROPER(TRIM('raw data'!C279))</f>
        <v>High School</v>
      </c>
      <c r="D279" s="7" t="str">
        <f>PROPER(TRIM('raw data'!D279))</f>
        <v>Standard</v>
      </c>
      <c r="E279" s="7" t="str">
        <f>PROPER(TRIM('raw data'!E279))</f>
        <v>Completed</v>
      </c>
      <c r="F279" s="8">
        <v>59</v>
      </c>
      <c r="G279" s="8">
        <v>63</v>
      </c>
      <c r="H279" s="8">
        <v>75</v>
      </c>
      <c r="I279">
        <f t="shared" si="12"/>
        <v>197</v>
      </c>
      <c r="J279">
        <f t="shared" si="13"/>
        <v>65.666666666666671</v>
      </c>
      <c r="K279" s="7" t="str">
        <f t="shared" si="14"/>
        <v>pass</v>
      </c>
    </row>
    <row r="280" spans="1:11" x14ac:dyDescent="0.25">
      <c r="A280" t="str">
        <f>PROPER(TRIM('raw data'!A280))</f>
        <v>Female</v>
      </c>
      <c r="B280" t="str">
        <f>PROPER(TRIM('raw data'!B280))</f>
        <v>Group C</v>
      </c>
      <c r="C280" s="7" t="str">
        <f>PROPER(TRIM('raw data'!C280))</f>
        <v>Some High School</v>
      </c>
      <c r="D280" s="7" t="str">
        <f>PROPER(TRIM('raw data'!D280))</f>
        <v>Free/Reduced</v>
      </c>
      <c r="E280" s="7" t="str">
        <f>PROPER(TRIM('raw data'!E280))</f>
        <v>None</v>
      </c>
      <c r="F280" s="8">
        <v>65</v>
      </c>
      <c r="G280" s="8">
        <v>86</v>
      </c>
      <c r="H280" s="8">
        <v>80</v>
      </c>
      <c r="I280">
        <f t="shared" si="12"/>
        <v>231</v>
      </c>
      <c r="J280">
        <f t="shared" si="13"/>
        <v>77</v>
      </c>
      <c r="K280" s="7" t="str">
        <f t="shared" si="14"/>
        <v>pass</v>
      </c>
    </row>
    <row r="281" spans="1:11" x14ac:dyDescent="0.25">
      <c r="A281" t="str">
        <f>PROPER(TRIM('raw data'!A281))</f>
        <v>Male</v>
      </c>
      <c r="B281" t="str">
        <f>PROPER(TRIM('raw data'!B281))</f>
        <v>Group B</v>
      </c>
      <c r="C281" s="7" t="str">
        <f>PROPER(TRIM('raw data'!C281))</f>
        <v>Bachelor'S Degree</v>
      </c>
      <c r="D281" s="7" t="str">
        <f>PROPER(TRIM('raw data'!D281))</f>
        <v>Free/Reduced</v>
      </c>
      <c r="E281" s="7" t="str">
        <f>PROPER(TRIM('raw data'!E281))</f>
        <v>None</v>
      </c>
      <c r="F281" s="8">
        <v>73</v>
      </c>
      <c r="G281" s="8">
        <v>56</v>
      </c>
      <c r="H281" s="8">
        <v>57</v>
      </c>
      <c r="I281">
        <f t="shared" si="12"/>
        <v>186</v>
      </c>
      <c r="J281">
        <f t="shared" si="13"/>
        <v>62</v>
      </c>
      <c r="K281" s="7" t="str">
        <f t="shared" si="14"/>
        <v>pass</v>
      </c>
    </row>
    <row r="282" spans="1:11" x14ac:dyDescent="0.25">
      <c r="A282" t="str">
        <f>PROPER(TRIM('raw data'!A282))</f>
        <v>Male</v>
      </c>
      <c r="B282" t="str">
        <f>PROPER(TRIM('raw data'!B282))</f>
        <v>Group D</v>
      </c>
      <c r="C282" s="7" t="str">
        <f>PROPER(TRIM('raw data'!C282))</f>
        <v>High School</v>
      </c>
      <c r="D282" s="7" t="str">
        <f>PROPER(TRIM('raw data'!D282))</f>
        <v>Standard</v>
      </c>
      <c r="E282" s="7" t="str">
        <f>PROPER(TRIM('raw data'!E282))</f>
        <v>None</v>
      </c>
      <c r="F282" s="8">
        <v>53</v>
      </c>
      <c r="G282" s="8">
        <v>52</v>
      </c>
      <c r="H282" s="8">
        <v>42</v>
      </c>
      <c r="I282">
        <f t="shared" si="12"/>
        <v>147</v>
      </c>
      <c r="J282">
        <f t="shared" si="13"/>
        <v>49</v>
      </c>
      <c r="K282" s="7" t="str">
        <f t="shared" si="14"/>
        <v>pass</v>
      </c>
    </row>
    <row r="283" spans="1:11" x14ac:dyDescent="0.25">
      <c r="A283" t="str">
        <f>PROPER(TRIM('raw data'!A283))</f>
        <v>Male</v>
      </c>
      <c r="B283" t="str">
        <f>PROPER(TRIM('raw data'!B283))</f>
        <v>Group D</v>
      </c>
      <c r="C283" s="7" t="str">
        <f>PROPER(TRIM('raw data'!C283))</f>
        <v>High School</v>
      </c>
      <c r="D283" s="7" t="str">
        <f>PROPER(TRIM('raw data'!D283))</f>
        <v>Standard</v>
      </c>
      <c r="E283" s="7" t="str">
        <f>PROPER(TRIM('raw data'!E283))</f>
        <v>None</v>
      </c>
      <c r="F283" s="8">
        <v>45</v>
      </c>
      <c r="G283" s="8">
        <v>48</v>
      </c>
      <c r="H283" s="8">
        <v>46</v>
      </c>
      <c r="I283">
        <f t="shared" si="12"/>
        <v>139</v>
      </c>
      <c r="J283">
        <f t="shared" si="13"/>
        <v>46.333333333333336</v>
      </c>
      <c r="K283" s="7" t="str">
        <f t="shared" si="14"/>
        <v>pass</v>
      </c>
    </row>
    <row r="284" spans="1:11" x14ac:dyDescent="0.25">
      <c r="A284" t="str">
        <f>PROPER(TRIM('raw data'!A284))</f>
        <v>Female</v>
      </c>
      <c r="B284" t="str">
        <f>PROPER(TRIM('raw data'!B284))</f>
        <v>Group D</v>
      </c>
      <c r="C284" s="7" t="str">
        <f>PROPER(TRIM('raw data'!C284))</f>
        <v>Bachelor'S Degree</v>
      </c>
      <c r="D284" s="7" t="str">
        <f>PROPER(TRIM('raw data'!D284))</f>
        <v>Free/Reduced</v>
      </c>
      <c r="E284" s="7" t="str">
        <f>PROPER(TRIM('raw data'!E284))</f>
        <v>None</v>
      </c>
      <c r="F284" s="8">
        <v>73</v>
      </c>
      <c r="G284" s="8">
        <v>79</v>
      </c>
      <c r="H284" s="8">
        <v>84</v>
      </c>
      <c r="I284">
        <f t="shared" si="12"/>
        <v>236</v>
      </c>
      <c r="J284">
        <f t="shared" si="13"/>
        <v>78.666666666666671</v>
      </c>
      <c r="K284" s="7" t="str">
        <f t="shared" si="14"/>
        <v>pass</v>
      </c>
    </row>
    <row r="285" spans="1:11" x14ac:dyDescent="0.25">
      <c r="A285" t="str">
        <f>PROPER(TRIM('raw data'!A285))</f>
        <v>Female</v>
      </c>
      <c r="B285" t="str">
        <f>PROPER(TRIM('raw data'!B285))</f>
        <v>Group D</v>
      </c>
      <c r="C285" s="7" t="str">
        <f>PROPER(TRIM('raw data'!C285))</f>
        <v>Some College</v>
      </c>
      <c r="D285" s="7" t="str">
        <f>PROPER(TRIM('raw data'!D285))</f>
        <v>Free/Reduced</v>
      </c>
      <c r="E285" s="7" t="str">
        <f>PROPER(TRIM('raw data'!E285))</f>
        <v>Completed</v>
      </c>
      <c r="F285" s="8">
        <v>70</v>
      </c>
      <c r="G285" s="8">
        <v>78</v>
      </c>
      <c r="H285" s="8">
        <v>78</v>
      </c>
      <c r="I285">
        <f t="shared" si="12"/>
        <v>226</v>
      </c>
      <c r="J285">
        <f t="shared" si="13"/>
        <v>75.333333333333329</v>
      </c>
      <c r="K285" s="7" t="str">
        <f t="shared" si="14"/>
        <v>pass</v>
      </c>
    </row>
    <row r="286" spans="1:11" x14ac:dyDescent="0.25">
      <c r="A286" t="str">
        <f>PROPER(TRIM('raw data'!A286))</f>
        <v>Female</v>
      </c>
      <c r="B286" t="str">
        <f>PROPER(TRIM('raw data'!B286))</f>
        <v>Group B</v>
      </c>
      <c r="C286" s="7" t="str">
        <f>PROPER(TRIM('raw data'!C286))</f>
        <v>Some High School</v>
      </c>
      <c r="D286" s="7" t="str">
        <f>PROPER(TRIM('raw data'!D286))</f>
        <v>Standard</v>
      </c>
      <c r="E286" s="7" t="str">
        <f>PROPER(TRIM('raw data'!E286))</f>
        <v>None</v>
      </c>
      <c r="F286" s="8">
        <v>37</v>
      </c>
      <c r="G286" s="8">
        <v>46</v>
      </c>
      <c r="H286" s="8">
        <v>46</v>
      </c>
      <c r="I286">
        <f t="shared" si="12"/>
        <v>129</v>
      </c>
      <c r="J286">
        <f t="shared" si="13"/>
        <v>43</v>
      </c>
      <c r="K286" s="7" t="str">
        <f t="shared" si="14"/>
        <v>pass</v>
      </c>
    </row>
    <row r="287" spans="1:11" x14ac:dyDescent="0.25">
      <c r="A287" t="str">
        <f>PROPER(TRIM('raw data'!A287))</f>
        <v>Male</v>
      </c>
      <c r="B287" t="str">
        <f>PROPER(TRIM('raw data'!B287))</f>
        <v>Group B</v>
      </c>
      <c r="C287" s="7" t="str">
        <f>PROPER(TRIM('raw data'!C287))</f>
        <v>Associate'S Degree</v>
      </c>
      <c r="D287" s="7" t="str">
        <f>PROPER(TRIM('raw data'!D287))</f>
        <v>Standard</v>
      </c>
      <c r="E287" s="7" t="str">
        <f>PROPER(TRIM('raw data'!E287))</f>
        <v>Completed</v>
      </c>
      <c r="F287" s="8">
        <v>81</v>
      </c>
      <c r="G287" s="8">
        <v>82</v>
      </c>
      <c r="H287" s="8">
        <v>82</v>
      </c>
      <c r="I287">
        <f t="shared" si="12"/>
        <v>245</v>
      </c>
      <c r="J287">
        <f t="shared" si="13"/>
        <v>81.666666666666671</v>
      </c>
      <c r="K287" s="7" t="str">
        <f t="shared" si="14"/>
        <v>pass</v>
      </c>
    </row>
    <row r="288" spans="1:11" x14ac:dyDescent="0.25">
      <c r="A288" t="str">
        <f>PROPER(TRIM('raw data'!A288))</f>
        <v>Male</v>
      </c>
      <c r="B288" t="str">
        <f>PROPER(TRIM('raw data'!B288))</f>
        <v>Group E</v>
      </c>
      <c r="C288" s="7" t="str">
        <f>PROPER(TRIM('raw data'!C288))</f>
        <v>Associate'S Degree</v>
      </c>
      <c r="D288" s="7" t="str">
        <f>PROPER(TRIM('raw data'!D288))</f>
        <v>Standard</v>
      </c>
      <c r="E288" s="7" t="str">
        <f>PROPER(TRIM('raw data'!E288))</f>
        <v>Completed</v>
      </c>
      <c r="F288" s="8">
        <v>97</v>
      </c>
      <c r="G288" s="8">
        <v>82</v>
      </c>
      <c r="H288" s="8">
        <v>88</v>
      </c>
      <c r="I288">
        <f t="shared" si="12"/>
        <v>267</v>
      </c>
      <c r="J288">
        <f t="shared" si="13"/>
        <v>89</v>
      </c>
      <c r="K288" s="7" t="str">
        <f t="shared" si="14"/>
        <v>pass</v>
      </c>
    </row>
    <row r="289" spans="1:11" x14ac:dyDescent="0.25">
      <c r="A289" t="str">
        <f>PROPER(TRIM('raw data'!A289))</f>
        <v>Female</v>
      </c>
      <c r="B289" t="str">
        <f>PROPER(TRIM('raw data'!B289))</f>
        <v>Group B</v>
      </c>
      <c r="C289" s="7" t="str">
        <f>PROPER(TRIM('raw data'!C289))</f>
        <v>Some High School</v>
      </c>
      <c r="D289" s="7" t="str">
        <f>PROPER(TRIM('raw data'!D289))</f>
        <v>Standard</v>
      </c>
      <c r="E289" s="7" t="str">
        <f>PROPER(TRIM('raw data'!E289))</f>
        <v>None</v>
      </c>
      <c r="F289" s="8">
        <v>67</v>
      </c>
      <c r="G289" s="8">
        <v>89</v>
      </c>
      <c r="H289" s="8">
        <v>82</v>
      </c>
      <c r="I289">
        <f t="shared" si="12"/>
        <v>238</v>
      </c>
      <c r="J289">
        <f t="shared" si="13"/>
        <v>79.333333333333329</v>
      </c>
      <c r="K289" s="7" t="str">
        <f t="shared" si="14"/>
        <v>pass</v>
      </c>
    </row>
    <row r="290" spans="1:11" x14ac:dyDescent="0.25">
      <c r="A290" t="str">
        <f>PROPER(TRIM('raw data'!A290))</f>
        <v>Male</v>
      </c>
      <c r="B290" t="str">
        <f>PROPER(TRIM('raw data'!B290))</f>
        <v>Group B</v>
      </c>
      <c r="C290" s="7" t="str">
        <f>PROPER(TRIM('raw data'!C290))</f>
        <v>Bachelor'S Degree</v>
      </c>
      <c r="D290" s="7" t="str">
        <f>PROPER(TRIM('raw data'!D290))</f>
        <v>Free/Reduced</v>
      </c>
      <c r="E290" s="7" t="str">
        <f>PROPER(TRIM('raw data'!E290))</f>
        <v>None</v>
      </c>
      <c r="F290" s="8">
        <v>88</v>
      </c>
      <c r="G290" s="8">
        <v>75</v>
      </c>
      <c r="H290" s="8">
        <v>76</v>
      </c>
      <c r="I290">
        <f t="shared" si="12"/>
        <v>239</v>
      </c>
      <c r="J290">
        <f t="shared" si="13"/>
        <v>79.666666666666671</v>
      </c>
      <c r="K290" s="7" t="str">
        <f t="shared" si="14"/>
        <v>pass</v>
      </c>
    </row>
    <row r="291" spans="1:11" x14ac:dyDescent="0.25">
      <c r="A291" t="str">
        <f>PROPER(TRIM('raw data'!A291))</f>
        <v>Male</v>
      </c>
      <c r="B291" t="str">
        <f>PROPER(TRIM('raw data'!B291))</f>
        <v>Group E</v>
      </c>
      <c r="C291" s="7" t="str">
        <f>PROPER(TRIM('raw data'!C291))</f>
        <v>Some High School</v>
      </c>
      <c r="D291" s="7" t="str">
        <f>PROPER(TRIM('raw data'!D291))</f>
        <v>Standard</v>
      </c>
      <c r="E291" s="7" t="str">
        <f>PROPER(TRIM('raw data'!E291))</f>
        <v>Completed</v>
      </c>
      <c r="F291" s="8">
        <v>77</v>
      </c>
      <c r="G291" s="8">
        <v>76</v>
      </c>
      <c r="H291" s="8">
        <v>77</v>
      </c>
      <c r="I291">
        <f t="shared" si="12"/>
        <v>230</v>
      </c>
      <c r="J291">
        <f t="shared" si="13"/>
        <v>76.666666666666671</v>
      </c>
      <c r="K291" s="7" t="str">
        <f t="shared" si="14"/>
        <v>pass</v>
      </c>
    </row>
    <row r="292" spans="1:11" x14ac:dyDescent="0.25">
      <c r="A292" t="str">
        <f>PROPER(TRIM('raw data'!A292))</f>
        <v>Male</v>
      </c>
      <c r="B292" t="str">
        <f>PROPER(TRIM('raw data'!B292))</f>
        <v>Group C</v>
      </c>
      <c r="C292" s="7" t="str">
        <f>PROPER(TRIM('raw data'!C292))</f>
        <v>Associate'S Degree</v>
      </c>
      <c r="D292" s="7" t="str">
        <f>PROPER(TRIM('raw data'!D292))</f>
        <v>Standard</v>
      </c>
      <c r="E292" s="7" t="str">
        <f>PROPER(TRIM('raw data'!E292))</f>
        <v>None</v>
      </c>
      <c r="F292" s="8">
        <v>76</v>
      </c>
      <c r="G292" s="8">
        <v>70</v>
      </c>
      <c r="H292" s="8">
        <v>68</v>
      </c>
      <c r="I292">
        <f t="shared" si="12"/>
        <v>214</v>
      </c>
      <c r="J292">
        <f t="shared" si="13"/>
        <v>71.333333333333329</v>
      </c>
      <c r="K292" s="7" t="str">
        <f t="shared" si="14"/>
        <v>pass</v>
      </c>
    </row>
    <row r="293" spans="1:11" x14ac:dyDescent="0.25">
      <c r="A293" t="str">
        <f>PROPER(TRIM('raw data'!A293))</f>
        <v>Male</v>
      </c>
      <c r="B293" t="str">
        <f>PROPER(TRIM('raw data'!B293))</f>
        <v>Group D</v>
      </c>
      <c r="C293" s="7" t="str">
        <f>PROPER(TRIM('raw data'!C293))</f>
        <v>Some High School</v>
      </c>
      <c r="D293" s="7" t="str">
        <f>PROPER(TRIM('raw data'!D293))</f>
        <v>Standard</v>
      </c>
      <c r="E293" s="7" t="str">
        <f>PROPER(TRIM('raw data'!E293))</f>
        <v>None</v>
      </c>
      <c r="F293" s="8">
        <v>86</v>
      </c>
      <c r="G293" s="8">
        <v>73</v>
      </c>
      <c r="H293" s="8">
        <v>70</v>
      </c>
      <c r="I293">
        <f t="shared" si="12"/>
        <v>229</v>
      </c>
      <c r="J293">
        <f t="shared" si="13"/>
        <v>76.333333333333329</v>
      </c>
      <c r="K293" s="7" t="str">
        <f t="shared" si="14"/>
        <v>pass</v>
      </c>
    </row>
    <row r="294" spans="1:11" x14ac:dyDescent="0.25">
      <c r="A294" t="str">
        <f>PROPER(TRIM('raw data'!A294))</f>
        <v>Male</v>
      </c>
      <c r="B294" t="str">
        <f>PROPER(TRIM('raw data'!B294))</f>
        <v>Group C</v>
      </c>
      <c r="C294" s="7" t="str">
        <f>PROPER(TRIM('raw data'!C294))</f>
        <v>Some High School</v>
      </c>
      <c r="D294" s="7" t="str">
        <f>PROPER(TRIM('raw data'!D294))</f>
        <v>Standard</v>
      </c>
      <c r="E294" s="7" t="str">
        <f>PROPER(TRIM('raw data'!E294))</f>
        <v>Completed</v>
      </c>
      <c r="F294" s="8">
        <v>63</v>
      </c>
      <c r="G294" s="8">
        <v>60</v>
      </c>
      <c r="H294" s="8">
        <v>57</v>
      </c>
      <c r="I294">
        <f t="shared" si="12"/>
        <v>180</v>
      </c>
      <c r="J294">
        <f t="shared" si="13"/>
        <v>60</v>
      </c>
      <c r="K294" s="7" t="str">
        <f t="shared" si="14"/>
        <v>pass</v>
      </c>
    </row>
    <row r="295" spans="1:11" x14ac:dyDescent="0.25">
      <c r="A295" t="str">
        <f>PROPER(TRIM('raw data'!A295))</f>
        <v>Female</v>
      </c>
      <c r="B295" t="str">
        <f>PROPER(TRIM('raw data'!B295))</f>
        <v>Group E</v>
      </c>
      <c r="C295" s="7" t="str">
        <f>PROPER(TRIM('raw data'!C295))</f>
        <v>Bachelor'S Degree</v>
      </c>
      <c r="D295" s="7" t="str">
        <f>PROPER(TRIM('raw data'!D295))</f>
        <v>Standard</v>
      </c>
      <c r="E295" s="7" t="str">
        <f>PROPER(TRIM('raw data'!E295))</f>
        <v>None</v>
      </c>
      <c r="F295" s="8">
        <v>65</v>
      </c>
      <c r="G295" s="8">
        <v>73</v>
      </c>
      <c r="H295" s="8">
        <v>75</v>
      </c>
      <c r="I295">
        <f t="shared" si="12"/>
        <v>213</v>
      </c>
      <c r="J295">
        <f t="shared" si="13"/>
        <v>71</v>
      </c>
      <c r="K295" s="7" t="str">
        <f t="shared" si="14"/>
        <v>pass</v>
      </c>
    </row>
    <row r="296" spans="1:11" x14ac:dyDescent="0.25">
      <c r="A296" t="str">
        <f>PROPER(TRIM('raw data'!A296))</f>
        <v>Male</v>
      </c>
      <c r="B296" t="str">
        <f>PROPER(TRIM('raw data'!B296))</f>
        <v>Group D</v>
      </c>
      <c r="C296" s="7" t="str">
        <f>PROPER(TRIM('raw data'!C296))</f>
        <v>High School</v>
      </c>
      <c r="D296" s="7" t="str">
        <f>PROPER(TRIM('raw data'!D296))</f>
        <v>Free/Reduced</v>
      </c>
      <c r="E296" s="7" t="str">
        <f>PROPER(TRIM('raw data'!E296))</f>
        <v>Completed</v>
      </c>
      <c r="F296" s="8">
        <v>78</v>
      </c>
      <c r="G296" s="8">
        <v>77</v>
      </c>
      <c r="H296" s="8">
        <v>80</v>
      </c>
      <c r="I296">
        <f t="shared" si="12"/>
        <v>235</v>
      </c>
      <c r="J296">
        <f t="shared" si="13"/>
        <v>78.333333333333329</v>
      </c>
      <c r="K296" s="7" t="str">
        <f t="shared" si="14"/>
        <v>pass</v>
      </c>
    </row>
    <row r="297" spans="1:11" x14ac:dyDescent="0.25">
      <c r="A297" t="str">
        <f>PROPER(TRIM('raw data'!A297))</f>
        <v>Male</v>
      </c>
      <c r="B297" t="str">
        <f>PROPER(TRIM('raw data'!B297))</f>
        <v>Group B</v>
      </c>
      <c r="C297" s="7" t="str">
        <f>PROPER(TRIM('raw data'!C297))</f>
        <v>Associate'S Degree</v>
      </c>
      <c r="D297" s="7" t="str">
        <f>PROPER(TRIM('raw data'!D297))</f>
        <v>Free/Reduced</v>
      </c>
      <c r="E297" s="7" t="str">
        <f>PROPER(TRIM('raw data'!E297))</f>
        <v>None</v>
      </c>
      <c r="F297" s="8">
        <v>67</v>
      </c>
      <c r="G297" s="8">
        <v>62</v>
      </c>
      <c r="H297" s="8">
        <v>60</v>
      </c>
      <c r="I297">
        <f t="shared" si="12"/>
        <v>189</v>
      </c>
      <c r="J297">
        <f t="shared" si="13"/>
        <v>63</v>
      </c>
      <c r="K297" s="7" t="str">
        <f t="shared" si="14"/>
        <v>pass</v>
      </c>
    </row>
    <row r="298" spans="1:11" x14ac:dyDescent="0.25">
      <c r="A298" t="str">
        <f>PROPER(TRIM('raw data'!A298))</f>
        <v>Male</v>
      </c>
      <c r="B298" t="str">
        <f>PROPER(TRIM('raw data'!B298))</f>
        <v>Group A</v>
      </c>
      <c r="C298" s="7" t="str">
        <f>PROPER(TRIM('raw data'!C298))</f>
        <v>Some High School</v>
      </c>
      <c r="D298" s="7" t="str">
        <f>PROPER(TRIM('raw data'!D298))</f>
        <v>Standard</v>
      </c>
      <c r="E298" s="7" t="str">
        <f>PROPER(TRIM('raw data'!E298))</f>
        <v>Completed</v>
      </c>
      <c r="F298" s="8">
        <v>46</v>
      </c>
      <c r="G298" s="8">
        <v>41</v>
      </c>
      <c r="H298" s="8">
        <v>43</v>
      </c>
      <c r="I298">
        <f t="shared" si="12"/>
        <v>130</v>
      </c>
      <c r="J298">
        <f t="shared" si="13"/>
        <v>43.333333333333336</v>
      </c>
      <c r="K298" s="7" t="str">
        <f t="shared" si="14"/>
        <v>pass</v>
      </c>
    </row>
    <row r="299" spans="1:11" x14ac:dyDescent="0.25">
      <c r="A299" t="str">
        <f>PROPER(TRIM('raw data'!A299))</f>
        <v>Male</v>
      </c>
      <c r="B299" t="str">
        <f>PROPER(TRIM('raw data'!B299))</f>
        <v>Group E</v>
      </c>
      <c r="C299" s="7" t="str">
        <f>PROPER(TRIM('raw data'!C299))</f>
        <v>Associate'S Degree</v>
      </c>
      <c r="D299" s="7" t="str">
        <f>PROPER(TRIM('raw data'!D299))</f>
        <v>Standard</v>
      </c>
      <c r="E299" s="7" t="str">
        <f>PROPER(TRIM('raw data'!E299))</f>
        <v>Completed</v>
      </c>
      <c r="F299" s="8">
        <v>71</v>
      </c>
      <c r="G299" s="8">
        <v>74</v>
      </c>
      <c r="H299" s="8">
        <v>68</v>
      </c>
      <c r="I299">
        <f t="shared" si="12"/>
        <v>213</v>
      </c>
      <c r="J299">
        <f t="shared" si="13"/>
        <v>71</v>
      </c>
      <c r="K299" s="7" t="str">
        <f t="shared" si="14"/>
        <v>pass</v>
      </c>
    </row>
    <row r="300" spans="1:11" x14ac:dyDescent="0.25">
      <c r="A300" t="str">
        <f>PROPER(TRIM('raw data'!A300))</f>
        <v>Male</v>
      </c>
      <c r="B300" t="str">
        <f>PROPER(TRIM('raw data'!B300))</f>
        <v>Group C</v>
      </c>
      <c r="C300" s="7" t="str">
        <f>PROPER(TRIM('raw data'!C300))</f>
        <v>High School</v>
      </c>
      <c r="D300" s="7" t="str">
        <f>PROPER(TRIM('raw data'!D300))</f>
        <v>Free/Reduced</v>
      </c>
      <c r="E300" s="7" t="str">
        <f>PROPER(TRIM('raw data'!E300))</f>
        <v>Completed</v>
      </c>
      <c r="F300" s="8">
        <v>40</v>
      </c>
      <c r="G300" s="8">
        <v>46</v>
      </c>
      <c r="H300" s="8">
        <v>50</v>
      </c>
      <c r="I300">
        <f t="shared" si="12"/>
        <v>136</v>
      </c>
      <c r="J300">
        <f t="shared" si="13"/>
        <v>45.333333333333336</v>
      </c>
      <c r="K300" s="7" t="str">
        <f t="shared" si="14"/>
        <v>pass</v>
      </c>
    </row>
    <row r="301" spans="1:11" x14ac:dyDescent="0.25">
      <c r="A301" t="str">
        <f>PROPER(TRIM('raw data'!A301))</f>
        <v>Male</v>
      </c>
      <c r="B301" t="str">
        <f>PROPER(TRIM('raw data'!B301))</f>
        <v>Group D</v>
      </c>
      <c r="C301" s="7" t="str">
        <f>PROPER(TRIM('raw data'!C301))</f>
        <v>Associate'S Degree</v>
      </c>
      <c r="D301" s="7" t="str">
        <f>PROPER(TRIM('raw data'!D301))</f>
        <v>Free/Reduced</v>
      </c>
      <c r="E301" s="7" t="str">
        <f>PROPER(TRIM('raw data'!E301))</f>
        <v>None</v>
      </c>
      <c r="F301" s="8">
        <v>90</v>
      </c>
      <c r="G301" s="8">
        <v>87</v>
      </c>
      <c r="H301" s="8">
        <v>75</v>
      </c>
      <c r="I301">
        <f t="shared" si="12"/>
        <v>252</v>
      </c>
      <c r="J301">
        <f t="shared" si="13"/>
        <v>84</v>
      </c>
      <c r="K301" s="7" t="str">
        <f t="shared" si="14"/>
        <v>pass</v>
      </c>
    </row>
    <row r="302" spans="1:11" x14ac:dyDescent="0.25">
      <c r="A302" t="str">
        <f>PROPER(TRIM('raw data'!A302))</f>
        <v>Male</v>
      </c>
      <c r="B302" t="str">
        <f>PROPER(TRIM('raw data'!B302))</f>
        <v>Group A</v>
      </c>
      <c r="C302" s="7" t="str">
        <f>PROPER(TRIM('raw data'!C302))</f>
        <v>Some College</v>
      </c>
      <c r="D302" s="7" t="str">
        <f>PROPER(TRIM('raw data'!D302))</f>
        <v>Free/Reduced</v>
      </c>
      <c r="E302" s="7" t="str">
        <f>PROPER(TRIM('raw data'!E302))</f>
        <v>Completed</v>
      </c>
      <c r="F302" s="8">
        <v>81</v>
      </c>
      <c r="G302" s="8">
        <v>78</v>
      </c>
      <c r="H302" s="8">
        <v>81</v>
      </c>
      <c r="I302">
        <f t="shared" si="12"/>
        <v>240</v>
      </c>
      <c r="J302">
        <f t="shared" si="13"/>
        <v>80</v>
      </c>
      <c r="K302" s="7" t="str">
        <f t="shared" si="14"/>
        <v>pass</v>
      </c>
    </row>
    <row r="303" spans="1:11" x14ac:dyDescent="0.25">
      <c r="A303" t="str">
        <f>PROPER(TRIM('raw data'!A303))</f>
        <v>Male</v>
      </c>
      <c r="B303" t="str">
        <f>PROPER(TRIM('raw data'!B303))</f>
        <v>Group D</v>
      </c>
      <c r="C303" s="7" t="str">
        <f>PROPER(TRIM('raw data'!C303))</f>
        <v>Some High School</v>
      </c>
      <c r="D303" s="7" t="str">
        <f>PROPER(TRIM('raw data'!D303))</f>
        <v>Free/Reduced</v>
      </c>
      <c r="E303" s="7" t="str">
        <f>PROPER(TRIM('raw data'!E303))</f>
        <v>None</v>
      </c>
      <c r="F303" s="8">
        <v>56</v>
      </c>
      <c r="G303" s="8">
        <v>54</v>
      </c>
      <c r="H303" s="8">
        <v>52</v>
      </c>
      <c r="I303">
        <f t="shared" si="12"/>
        <v>162</v>
      </c>
      <c r="J303">
        <f t="shared" si="13"/>
        <v>54</v>
      </c>
      <c r="K303" s="7" t="str">
        <f t="shared" si="14"/>
        <v>pass</v>
      </c>
    </row>
    <row r="304" spans="1:11" x14ac:dyDescent="0.25">
      <c r="A304" t="str">
        <f>PROPER(TRIM('raw data'!A304))</f>
        <v>Female</v>
      </c>
      <c r="B304" t="str">
        <f>PROPER(TRIM('raw data'!B304))</f>
        <v>Group C</v>
      </c>
      <c r="C304" s="7" t="str">
        <f>PROPER(TRIM('raw data'!C304))</f>
        <v>Associate'S Degree</v>
      </c>
      <c r="D304" s="7" t="str">
        <f>PROPER(TRIM('raw data'!D304))</f>
        <v>Standard</v>
      </c>
      <c r="E304" s="7" t="str">
        <f>PROPER(TRIM('raw data'!E304))</f>
        <v>Completed</v>
      </c>
      <c r="F304" s="8">
        <v>67</v>
      </c>
      <c r="G304" s="8">
        <v>84</v>
      </c>
      <c r="H304" s="8">
        <v>81</v>
      </c>
      <c r="I304">
        <f t="shared" si="12"/>
        <v>232</v>
      </c>
      <c r="J304">
        <f t="shared" si="13"/>
        <v>77.333333333333329</v>
      </c>
      <c r="K304" s="7" t="str">
        <f t="shared" si="14"/>
        <v>pass</v>
      </c>
    </row>
    <row r="305" spans="1:11" x14ac:dyDescent="0.25">
      <c r="A305" t="str">
        <f>PROPER(TRIM('raw data'!A305))</f>
        <v>Male</v>
      </c>
      <c r="B305" t="str">
        <f>PROPER(TRIM('raw data'!B305))</f>
        <v>Group B</v>
      </c>
      <c r="C305" s="7" t="str">
        <f>PROPER(TRIM('raw data'!C305))</f>
        <v>Associate'S Degree</v>
      </c>
      <c r="D305" s="7" t="str">
        <f>PROPER(TRIM('raw data'!D305))</f>
        <v>Standard</v>
      </c>
      <c r="E305" s="7" t="str">
        <f>PROPER(TRIM('raw data'!E305))</f>
        <v>None</v>
      </c>
      <c r="F305" s="8">
        <v>80</v>
      </c>
      <c r="G305" s="8">
        <v>76</v>
      </c>
      <c r="H305" s="8">
        <v>64</v>
      </c>
      <c r="I305">
        <f t="shared" si="12"/>
        <v>220</v>
      </c>
      <c r="J305">
        <f t="shared" si="13"/>
        <v>73.333333333333329</v>
      </c>
      <c r="K305" s="7" t="str">
        <f t="shared" si="14"/>
        <v>pass</v>
      </c>
    </row>
    <row r="306" spans="1:11" x14ac:dyDescent="0.25">
      <c r="A306" t="str">
        <f>PROPER(TRIM('raw data'!A306))</f>
        <v>Female</v>
      </c>
      <c r="B306" t="str">
        <f>PROPER(TRIM('raw data'!B306))</f>
        <v>Group C</v>
      </c>
      <c r="C306" s="7" t="str">
        <f>PROPER(TRIM('raw data'!C306))</f>
        <v>Associate'S Degree</v>
      </c>
      <c r="D306" s="7" t="str">
        <f>PROPER(TRIM('raw data'!D306))</f>
        <v>Standard</v>
      </c>
      <c r="E306" s="7" t="str">
        <f>PROPER(TRIM('raw data'!E306))</f>
        <v>Completed</v>
      </c>
      <c r="F306" s="8">
        <v>74</v>
      </c>
      <c r="G306" s="8">
        <v>75</v>
      </c>
      <c r="H306" s="8">
        <v>83</v>
      </c>
      <c r="I306">
        <f t="shared" si="12"/>
        <v>232</v>
      </c>
      <c r="J306">
        <f t="shared" si="13"/>
        <v>77.333333333333329</v>
      </c>
      <c r="K306" s="7" t="str">
        <f t="shared" si="14"/>
        <v>pass</v>
      </c>
    </row>
    <row r="307" spans="1:11" x14ac:dyDescent="0.25">
      <c r="A307" t="str">
        <f>PROPER(TRIM('raw data'!A307))</f>
        <v>Male</v>
      </c>
      <c r="B307" t="str">
        <f>PROPER(TRIM('raw data'!B307))</f>
        <v>Group A</v>
      </c>
      <c r="C307" s="7" t="str">
        <f>PROPER(TRIM('raw data'!C307))</f>
        <v>Some College</v>
      </c>
      <c r="D307" s="7" t="str">
        <f>PROPER(TRIM('raw data'!D307))</f>
        <v>Standard</v>
      </c>
      <c r="E307" s="7" t="str">
        <f>PROPER(TRIM('raw data'!E307))</f>
        <v>None</v>
      </c>
      <c r="F307" s="8">
        <v>69</v>
      </c>
      <c r="G307" s="8">
        <v>67</v>
      </c>
      <c r="H307" s="8">
        <v>69</v>
      </c>
      <c r="I307">
        <f t="shared" si="12"/>
        <v>205</v>
      </c>
      <c r="J307">
        <f t="shared" si="13"/>
        <v>68.333333333333329</v>
      </c>
      <c r="K307" s="7" t="str">
        <f t="shared" si="14"/>
        <v>pass</v>
      </c>
    </row>
    <row r="308" spans="1:11" x14ac:dyDescent="0.25">
      <c r="A308" t="str">
        <f>PROPER(TRIM('raw data'!A308))</f>
        <v>Male</v>
      </c>
      <c r="B308" t="str">
        <f>PROPER(TRIM('raw data'!B308))</f>
        <v>Group E</v>
      </c>
      <c r="C308" s="7" t="str">
        <f>PROPER(TRIM('raw data'!C308))</f>
        <v>Some College</v>
      </c>
      <c r="D308" s="7" t="str">
        <f>PROPER(TRIM('raw data'!D308))</f>
        <v>Standard</v>
      </c>
      <c r="E308" s="7" t="str">
        <f>PROPER(TRIM('raw data'!E308))</f>
        <v>Completed</v>
      </c>
      <c r="F308" s="8">
        <v>99</v>
      </c>
      <c r="G308" s="8">
        <v>87</v>
      </c>
      <c r="H308" s="8">
        <v>81</v>
      </c>
      <c r="I308">
        <f t="shared" si="12"/>
        <v>267</v>
      </c>
      <c r="J308">
        <f t="shared" si="13"/>
        <v>89</v>
      </c>
      <c r="K308" s="7" t="str">
        <f t="shared" si="14"/>
        <v>pass</v>
      </c>
    </row>
    <row r="309" spans="1:11" x14ac:dyDescent="0.25">
      <c r="A309" t="str">
        <f>PROPER(TRIM('raw data'!A309))</f>
        <v>Male</v>
      </c>
      <c r="B309" t="str">
        <f>PROPER(TRIM('raw data'!B309))</f>
        <v>Group C</v>
      </c>
      <c r="C309" s="7" t="str">
        <f>PROPER(TRIM('raw data'!C309))</f>
        <v>Some High School</v>
      </c>
      <c r="D309" s="7" t="str">
        <f>PROPER(TRIM('raw data'!D309))</f>
        <v>Standard</v>
      </c>
      <c r="E309" s="7" t="str">
        <f>PROPER(TRIM('raw data'!E309))</f>
        <v>None</v>
      </c>
      <c r="F309" s="8">
        <v>51</v>
      </c>
      <c r="G309" s="8">
        <v>52</v>
      </c>
      <c r="H309" s="8">
        <v>44</v>
      </c>
      <c r="I309">
        <f t="shared" si="12"/>
        <v>147</v>
      </c>
      <c r="J309">
        <f t="shared" si="13"/>
        <v>49</v>
      </c>
      <c r="K309" s="7" t="str">
        <f t="shared" si="14"/>
        <v>pass</v>
      </c>
    </row>
    <row r="310" spans="1:11" x14ac:dyDescent="0.25">
      <c r="A310" t="str">
        <f>PROPER(TRIM('raw data'!A310))</f>
        <v>Female</v>
      </c>
      <c r="B310" t="str">
        <f>PROPER(TRIM('raw data'!B310))</f>
        <v>Group B</v>
      </c>
      <c r="C310" s="7" t="str">
        <f>PROPER(TRIM('raw data'!C310))</f>
        <v>Associate'S Degree</v>
      </c>
      <c r="D310" s="7" t="str">
        <f>PROPER(TRIM('raw data'!D310))</f>
        <v>Free/Reduced</v>
      </c>
      <c r="E310" s="7" t="str">
        <f>PROPER(TRIM('raw data'!E310))</f>
        <v>None</v>
      </c>
      <c r="F310" s="8">
        <v>53</v>
      </c>
      <c r="G310" s="8">
        <v>71</v>
      </c>
      <c r="H310" s="8">
        <v>67</v>
      </c>
      <c r="I310">
        <f t="shared" si="12"/>
        <v>191</v>
      </c>
      <c r="J310">
        <f t="shared" si="13"/>
        <v>63.666666666666664</v>
      </c>
      <c r="K310" s="7" t="str">
        <f t="shared" si="14"/>
        <v>pass</v>
      </c>
    </row>
    <row r="311" spans="1:11" x14ac:dyDescent="0.25">
      <c r="A311" t="str">
        <f>PROPER(TRIM('raw data'!A311))</f>
        <v>Female</v>
      </c>
      <c r="B311" t="str">
        <f>PROPER(TRIM('raw data'!B311))</f>
        <v>Group D</v>
      </c>
      <c r="C311" s="7" t="str">
        <f>PROPER(TRIM('raw data'!C311))</f>
        <v>High School</v>
      </c>
      <c r="D311" s="7" t="str">
        <f>PROPER(TRIM('raw data'!D311))</f>
        <v>Free/Reduced</v>
      </c>
      <c r="E311" s="7" t="str">
        <f>PROPER(TRIM('raw data'!E311))</f>
        <v>None</v>
      </c>
      <c r="F311" s="8">
        <v>49</v>
      </c>
      <c r="G311" s="8">
        <v>57</v>
      </c>
      <c r="H311" s="8">
        <v>52</v>
      </c>
      <c r="I311">
        <f t="shared" si="12"/>
        <v>158</v>
      </c>
      <c r="J311">
        <f t="shared" si="13"/>
        <v>52.666666666666664</v>
      </c>
      <c r="K311" s="7" t="str">
        <f t="shared" si="14"/>
        <v>pass</v>
      </c>
    </row>
    <row r="312" spans="1:11" x14ac:dyDescent="0.25">
      <c r="A312" t="str">
        <f>PROPER(TRIM('raw data'!A312))</f>
        <v>Female</v>
      </c>
      <c r="B312" t="str">
        <f>PROPER(TRIM('raw data'!B312))</f>
        <v>Group B</v>
      </c>
      <c r="C312" s="7" t="str">
        <f>PROPER(TRIM('raw data'!C312))</f>
        <v>Associate'S Degree</v>
      </c>
      <c r="D312" s="7" t="str">
        <f>PROPER(TRIM('raw data'!D312))</f>
        <v>Standard</v>
      </c>
      <c r="E312" s="7" t="str">
        <f>PROPER(TRIM('raw data'!E312))</f>
        <v>None</v>
      </c>
      <c r="F312" s="8">
        <v>73</v>
      </c>
      <c r="G312" s="8">
        <v>76</v>
      </c>
      <c r="H312" s="8">
        <v>80</v>
      </c>
      <c r="I312">
        <f t="shared" si="12"/>
        <v>229</v>
      </c>
      <c r="J312">
        <f t="shared" si="13"/>
        <v>76.333333333333329</v>
      </c>
      <c r="K312" s="7" t="str">
        <f t="shared" si="14"/>
        <v>pass</v>
      </c>
    </row>
    <row r="313" spans="1:11" x14ac:dyDescent="0.25">
      <c r="A313" t="str">
        <f>PROPER(TRIM('raw data'!A313))</f>
        <v>Male</v>
      </c>
      <c r="B313" t="str">
        <f>PROPER(TRIM('raw data'!B313))</f>
        <v>Group B</v>
      </c>
      <c r="C313" s="7" t="str">
        <f>PROPER(TRIM('raw data'!C313))</f>
        <v>Bachelor'S Degree</v>
      </c>
      <c r="D313" s="7" t="str">
        <f>PROPER(TRIM('raw data'!D313))</f>
        <v>Standard</v>
      </c>
      <c r="E313" s="7" t="str">
        <f>PROPER(TRIM('raw data'!E313))</f>
        <v>None</v>
      </c>
      <c r="F313" s="8">
        <v>66</v>
      </c>
      <c r="G313" s="8">
        <v>60</v>
      </c>
      <c r="H313" s="8">
        <v>57</v>
      </c>
      <c r="I313">
        <f t="shared" si="12"/>
        <v>183</v>
      </c>
      <c r="J313">
        <f t="shared" si="13"/>
        <v>61</v>
      </c>
      <c r="K313" s="7" t="str">
        <f t="shared" si="14"/>
        <v>pass</v>
      </c>
    </row>
    <row r="314" spans="1:11" x14ac:dyDescent="0.25">
      <c r="A314" t="str">
        <f>PROPER(TRIM('raw data'!A314))</f>
        <v>Male</v>
      </c>
      <c r="B314" t="str">
        <f>PROPER(TRIM('raw data'!B314))</f>
        <v>Group D</v>
      </c>
      <c r="C314" s="7" t="str">
        <f>PROPER(TRIM('raw data'!C314))</f>
        <v>Bachelor'S Degree</v>
      </c>
      <c r="D314" s="7" t="str">
        <f>PROPER(TRIM('raw data'!D314))</f>
        <v>Standard</v>
      </c>
      <c r="E314" s="7" t="str">
        <f>PROPER(TRIM('raw data'!E314))</f>
        <v>Completed</v>
      </c>
      <c r="F314" s="8">
        <v>67</v>
      </c>
      <c r="G314" s="8">
        <v>61</v>
      </c>
      <c r="H314" s="8">
        <v>68</v>
      </c>
      <c r="I314">
        <f t="shared" si="12"/>
        <v>196</v>
      </c>
      <c r="J314">
        <f t="shared" si="13"/>
        <v>65.333333333333329</v>
      </c>
      <c r="K314" s="7" t="str">
        <f t="shared" si="14"/>
        <v>pass</v>
      </c>
    </row>
    <row r="315" spans="1:11" x14ac:dyDescent="0.25">
      <c r="A315" t="str">
        <f>PROPER(TRIM('raw data'!A315))</f>
        <v>Female</v>
      </c>
      <c r="B315" t="str">
        <f>PROPER(TRIM('raw data'!B315))</f>
        <v>Group C</v>
      </c>
      <c r="C315" s="7" t="str">
        <f>PROPER(TRIM('raw data'!C315))</f>
        <v>Associate'S Degree</v>
      </c>
      <c r="D315" s="7" t="str">
        <f>PROPER(TRIM('raw data'!D315))</f>
        <v>Free/Reduced</v>
      </c>
      <c r="E315" s="7" t="str">
        <f>PROPER(TRIM('raw data'!E315))</f>
        <v>Completed</v>
      </c>
      <c r="F315" s="8">
        <v>68</v>
      </c>
      <c r="G315" s="8">
        <v>67</v>
      </c>
      <c r="H315" s="8">
        <v>69</v>
      </c>
      <c r="I315">
        <f t="shared" si="12"/>
        <v>204</v>
      </c>
      <c r="J315">
        <f t="shared" si="13"/>
        <v>68</v>
      </c>
      <c r="K315" s="7" t="str">
        <f t="shared" si="14"/>
        <v>pass</v>
      </c>
    </row>
    <row r="316" spans="1:11" x14ac:dyDescent="0.25">
      <c r="A316" t="str">
        <f>PROPER(TRIM('raw data'!A316))</f>
        <v>Female</v>
      </c>
      <c r="B316" t="str">
        <f>PROPER(TRIM('raw data'!B316))</f>
        <v>Group C</v>
      </c>
      <c r="C316" s="7" t="str">
        <f>PROPER(TRIM('raw data'!C316))</f>
        <v>Bachelor'S Degree</v>
      </c>
      <c r="D316" s="7" t="str">
        <f>PROPER(TRIM('raw data'!D316))</f>
        <v>Standard</v>
      </c>
      <c r="E316" s="7" t="str">
        <f>PROPER(TRIM('raw data'!E316))</f>
        <v>Completed</v>
      </c>
      <c r="F316" s="8">
        <v>59</v>
      </c>
      <c r="G316" s="8">
        <v>64</v>
      </c>
      <c r="H316" s="8">
        <v>75</v>
      </c>
      <c r="I316">
        <f t="shared" si="12"/>
        <v>198</v>
      </c>
      <c r="J316">
        <f t="shared" si="13"/>
        <v>66</v>
      </c>
      <c r="K316" s="7" t="str">
        <f t="shared" si="14"/>
        <v>pass</v>
      </c>
    </row>
    <row r="317" spans="1:11" x14ac:dyDescent="0.25">
      <c r="A317" t="str">
        <f>PROPER(TRIM('raw data'!A317))</f>
        <v>Male</v>
      </c>
      <c r="B317" t="str">
        <f>PROPER(TRIM('raw data'!B317))</f>
        <v>Group C</v>
      </c>
      <c r="C317" s="7" t="str">
        <f>PROPER(TRIM('raw data'!C317))</f>
        <v>High School</v>
      </c>
      <c r="D317" s="7" t="str">
        <f>PROPER(TRIM('raw data'!D317))</f>
        <v>Standard</v>
      </c>
      <c r="E317" s="7" t="str">
        <f>PROPER(TRIM('raw data'!E317))</f>
        <v>None</v>
      </c>
      <c r="F317" s="8">
        <v>71</v>
      </c>
      <c r="G317" s="8">
        <v>66</v>
      </c>
      <c r="H317" s="8">
        <v>65</v>
      </c>
      <c r="I317">
        <f t="shared" si="12"/>
        <v>202</v>
      </c>
      <c r="J317">
        <f t="shared" si="13"/>
        <v>67.333333333333329</v>
      </c>
      <c r="K317" s="7" t="str">
        <f t="shared" si="14"/>
        <v>pass</v>
      </c>
    </row>
    <row r="318" spans="1:11" x14ac:dyDescent="0.25">
      <c r="A318" t="str">
        <f>PROPER(TRIM('raw data'!A318))</f>
        <v>Female</v>
      </c>
      <c r="B318" t="str">
        <f>PROPER(TRIM('raw data'!B318))</f>
        <v>Group D</v>
      </c>
      <c r="C318" s="7" t="str">
        <f>PROPER(TRIM('raw data'!C318))</f>
        <v>Master'S Degree</v>
      </c>
      <c r="D318" s="7" t="str">
        <f>PROPER(TRIM('raw data'!D318))</f>
        <v>Standard</v>
      </c>
      <c r="E318" s="7" t="str">
        <f>PROPER(TRIM('raw data'!E318))</f>
        <v>Completed</v>
      </c>
      <c r="F318" s="8">
        <v>77</v>
      </c>
      <c r="G318" s="8">
        <v>82</v>
      </c>
      <c r="H318" s="8">
        <v>91</v>
      </c>
      <c r="I318">
        <f t="shared" si="12"/>
        <v>250</v>
      </c>
      <c r="J318">
        <f t="shared" si="13"/>
        <v>83.333333333333329</v>
      </c>
      <c r="K318" s="7" t="str">
        <f t="shared" si="14"/>
        <v>pass</v>
      </c>
    </row>
    <row r="319" spans="1:11" x14ac:dyDescent="0.25">
      <c r="A319" t="str">
        <f>PROPER(TRIM('raw data'!A319))</f>
        <v>Male</v>
      </c>
      <c r="B319" t="str">
        <f>PROPER(TRIM('raw data'!B319))</f>
        <v>Group C</v>
      </c>
      <c r="C319" s="7" t="str">
        <f>PROPER(TRIM('raw data'!C319))</f>
        <v>Associate'S Degree</v>
      </c>
      <c r="D319" s="7" t="str">
        <f>PROPER(TRIM('raw data'!D319))</f>
        <v>Standard</v>
      </c>
      <c r="E319" s="7" t="str">
        <f>PROPER(TRIM('raw data'!E319))</f>
        <v>None</v>
      </c>
      <c r="F319" s="8">
        <v>83</v>
      </c>
      <c r="G319" s="8">
        <v>72</v>
      </c>
      <c r="H319" s="8">
        <v>78</v>
      </c>
      <c r="I319">
        <f t="shared" si="12"/>
        <v>233</v>
      </c>
      <c r="J319">
        <f t="shared" si="13"/>
        <v>77.666666666666671</v>
      </c>
      <c r="K319" s="7" t="str">
        <f t="shared" si="14"/>
        <v>pass</v>
      </c>
    </row>
    <row r="320" spans="1:11" x14ac:dyDescent="0.25">
      <c r="A320" t="str">
        <f>PROPER(TRIM('raw data'!A320))</f>
        <v>Male</v>
      </c>
      <c r="B320" t="str">
        <f>PROPER(TRIM('raw data'!B320))</f>
        <v>Group B</v>
      </c>
      <c r="C320" s="7" t="str">
        <f>PROPER(TRIM('raw data'!C320))</f>
        <v>Bachelor'S Degree</v>
      </c>
      <c r="D320" s="7" t="str">
        <f>PROPER(TRIM('raw data'!D320))</f>
        <v>Standard</v>
      </c>
      <c r="E320" s="7" t="str">
        <f>PROPER(TRIM('raw data'!E320))</f>
        <v>None</v>
      </c>
      <c r="F320" s="8">
        <v>63</v>
      </c>
      <c r="G320" s="8">
        <v>71</v>
      </c>
      <c r="H320" s="8">
        <v>69</v>
      </c>
      <c r="I320">
        <f t="shared" si="12"/>
        <v>203</v>
      </c>
      <c r="J320">
        <f t="shared" si="13"/>
        <v>67.666666666666671</v>
      </c>
      <c r="K320" s="7" t="str">
        <f t="shared" si="14"/>
        <v>pass</v>
      </c>
    </row>
    <row r="321" spans="1:11" x14ac:dyDescent="0.25">
      <c r="A321" t="str">
        <f>PROPER(TRIM('raw data'!A321))</f>
        <v>Female</v>
      </c>
      <c r="B321" t="str">
        <f>PROPER(TRIM('raw data'!B321))</f>
        <v>Group D</v>
      </c>
      <c r="C321" s="7" t="str">
        <f>PROPER(TRIM('raw data'!C321))</f>
        <v>Associate'S Degree</v>
      </c>
      <c r="D321" s="7" t="str">
        <f>PROPER(TRIM('raw data'!D321))</f>
        <v>Free/Reduced</v>
      </c>
      <c r="E321" s="7" t="str">
        <f>PROPER(TRIM('raw data'!E321))</f>
        <v>None</v>
      </c>
      <c r="F321" s="8">
        <v>56</v>
      </c>
      <c r="G321" s="8">
        <v>65</v>
      </c>
      <c r="H321" s="8">
        <v>63</v>
      </c>
      <c r="I321">
        <f t="shared" si="12"/>
        <v>184</v>
      </c>
      <c r="J321">
        <f t="shared" si="13"/>
        <v>61.333333333333336</v>
      </c>
      <c r="K321" s="7" t="str">
        <f t="shared" si="14"/>
        <v>pass</v>
      </c>
    </row>
    <row r="322" spans="1:11" x14ac:dyDescent="0.25">
      <c r="A322" t="str">
        <f>PROPER(TRIM('raw data'!A322))</f>
        <v>Female</v>
      </c>
      <c r="B322" t="str">
        <f>PROPER(TRIM('raw data'!B322))</f>
        <v>Group C</v>
      </c>
      <c r="C322" s="7" t="str">
        <f>PROPER(TRIM('raw data'!C322))</f>
        <v>High School</v>
      </c>
      <c r="D322" s="7" t="str">
        <f>PROPER(TRIM('raw data'!D322))</f>
        <v>Free/Reduced</v>
      </c>
      <c r="E322" s="7" t="str">
        <f>PROPER(TRIM('raw data'!E322))</f>
        <v>Completed</v>
      </c>
      <c r="F322" s="8">
        <v>67</v>
      </c>
      <c r="G322" s="8">
        <v>79</v>
      </c>
      <c r="H322" s="8">
        <v>84</v>
      </c>
      <c r="I322">
        <f t="shared" si="12"/>
        <v>230</v>
      </c>
      <c r="J322">
        <f t="shared" si="13"/>
        <v>76.666666666666671</v>
      </c>
      <c r="K322" s="7" t="str">
        <f t="shared" si="14"/>
        <v>pass</v>
      </c>
    </row>
    <row r="323" spans="1:11" x14ac:dyDescent="0.25">
      <c r="A323" t="str">
        <f>PROPER(TRIM('raw data'!A323))</f>
        <v>Female</v>
      </c>
      <c r="B323" t="str">
        <f>PROPER(TRIM('raw data'!B323))</f>
        <v>Group E</v>
      </c>
      <c r="C323" s="7" t="str">
        <f>PROPER(TRIM('raw data'!C323))</f>
        <v>High School</v>
      </c>
      <c r="D323" s="7" t="str">
        <f>PROPER(TRIM('raw data'!D323))</f>
        <v>Standard</v>
      </c>
      <c r="E323" s="7" t="str">
        <f>PROPER(TRIM('raw data'!E323))</f>
        <v>None</v>
      </c>
      <c r="F323" s="8">
        <v>75</v>
      </c>
      <c r="G323" s="8">
        <v>86</v>
      </c>
      <c r="H323" s="8">
        <v>79</v>
      </c>
      <c r="I323">
        <f t="shared" ref="I323:I386" si="15">F323+G323+H323</f>
        <v>240</v>
      </c>
      <c r="J323">
        <f t="shared" ref="J323:J386" si="16">I323/3</f>
        <v>80</v>
      </c>
      <c r="K323" s="7" t="str">
        <f t="shared" ref="K323:K386" si="17">IF(J323&gt;=40,"pass","fail")</f>
        <v>pass</v>
      </c>
    </row>
    <row r="324" spans="1:11" x14ac:dyDescent="0.25">
      <c r="A324" t="str">
        <f>PROPER(TRIM('raw data'!A324))</f>
        <v>Female</v>
      </c>
      <c r="B324" t="str">
        <f>PROPER(TRIM('raw data'!B324))</f>
        <v>Group C</v>
      </c>
      <c r="C324" s="7" t="str">
        <f>PROPER(TRIM('raw data'!C324))</f>
        <v>Some College</v>
      </c>
      <c r="D324" s="7" t="str">
        <f>PROPER(TRIM('raw data'!D324))</f>
        <v>Standard</v>
      </c>
      <c r="E324" s="7" t="str">
        <f>PROPER(TRIM('raw data'!E324))</f>
        <v>None</v>
      </c>
      <c r="F324" s="8">
        <v>71</v>
      </c>
      <c r="G324" s="8">
        <v>81</v>
      </c>
      <c r="H324" s="8">
        <v>80</v>
      </c>
      <c r="I324">
        <f t="shared" si="15"/>
        <v>232</v>
      </c>
      <c r="J324">
        <f t="shared" si="16"/>
        <v>77.333333333333329</v>
      </c>
      <c r="K324" s="7" t="str">
        <f t="shared" si="17"/>
        <v>pass</v>
      </c>
    </row>
    <row r="325" spans="1:11" x14ac:dyDescent="0.25">
      <c r="A325" t="str">
        <f>PROPER(TRIM('raw data'!A325))</f>
        <v>Female</v>
      </c>
      <c r="B325" t="str">
        <f>PROPER(TRIM('raw data'!B325))</f>
        <v>Group C</v>
      </c>
      <c r="C325" s="7" t="str">
        <f>PROPER(TRIM('raw data'!C325))</f>
        <v>Some High School</v>
      </c>
      <c r="D325" s="7" t="str">
        <f>PROPER(TRIM('raw data'!D325))</f>
        <v>Free/Reduced</v>
      </c>
      <c r="E325" s="7" t="str">
        <f>PROPER(TRIM('raw data'!E325))</f>
        <v>None</v>
      </c>
      <c r="F325" s="8">
        <v>43</v>
      </c>
      <c r="G325" s="8">
        <v>53</v>
      </c>
      <c r="H325" s="8">
        <v>53</v>
      </c>
      <c r="I325">
        <f t="shared" si="15"/>
        <v>149</v>
      </c>
      <c r="J325">
        <f t="shared" si="16"/>
        <v>49.666666666666664</v>
      </c>
      <c r="K325" s="7" t="str">
        <f t="shared" si="17"/>
        <v>pass</v>
      </c>
    </row>
    <row r="326" spans="1:11" x14ac:dyDescent="0.25">
      <c r="A326" t="str">
        <f>PROPER(TRIM('raw data'!A326))</f>
        <v>Female</v>
      </c>
      <c r="B326" t="str">
        <f>PROPER(TRIM('raw data'!B326))</f>
        <v>Group C</v>
      </c>
      <c r="C326" s="7" t="str">
        <f>PROPER(TRIM('raw data'!C326))</f>
        <v>High School</v>
      </c>
      <c r="D326" s="7" t="str">
        <f>PROPER(TRIM('raw data'!D326))</f>
        <v>Free/Reduced</v>
      </c>
      <c r="E326" s="7" t="str">
        <f>PROPER(TRIM('raw data'!E326))</f>
        <v>None</v>
      </c>
      <c r="F326" s="8">
        <v>41</v>
      </c>
      <c r="G326" s="8">
        <v>46</v>
      </c>
      <c r="H326" s="8">
        <v>43</v>
      </c>
      <c r="I326">
        <f t="shared" si="15"/>
        <v>130</v>
      </c>
      <c r="J326">
        <f t="shared" si="16"/>
        <v>43.333333333333336</v>
      </c>
      <c r="K326" s="7" t="str">
        <f t="shared" si="17"/>
        <v>pass</v>
      </c>
    </row>
    <row r="327" spans="1:11" x14ac:dyDescent="0.25">
      <c r="A327" t="str">
        <f>PROPER(TRIM('raw data'!A327))</f>
        <v>Female</v>
      </c>
      <c r="B327" t="str">
        <f>PROPER(TRIM('raw data'!B327))</f>
        <v>Group C</v>
      </c>
      <c r="C327" s="7" t="str">
        <f>PROPER(TRIM('raw data'!C327))</f>
        <v>Some College</v>
      </c>
      <c r="D327" s="7" t="str">
        <f>PROPER(TRIM('raw data'!D327))</f>
        <v>Standard</v>
      </c>
      <c r="E327" s="7" t="str">
        <f>PROPER(TRIM('raw data'!E327))</f>
        <v>None</v>
      </c>
      <c r="F327" s="8">
        <v>82</v>
      </c>
      <c r="G327" s="8">
        <v>90</v>
      </c>
      <c r="H327" s="8">
        <v>94</v>
      </c>
      <c r="I327">
        <f t="shared" si="15"/>
        <v>266</v>
      </c>
      <c r="J327">
        <f t="shared" si="16"/>
        <v>88.666666666666671</v>
      </c>
      <c r="K327" s="7" t="str">
        <f t="shared" si="17"/>
        <v>pass</v>
      </c>
    </row>
    <row r="328" spans="1:11" x14ac:dyDescent="0.25">
      <c r="A328" t="str">
        <f>PROPER(TRIM('raw data'!A328))</f>
        <v>Male</v>
      </c>
      <c r="B328" t="str">
        <f>PROPER(TRIM('raw data'!B328))</f>
        <v>Group C</v>
      </c>
      <c r="C328" s="7" t="str">
        <f>PROPER(TRIM('raw data'!C328))</f>
        <v>Some College</v>
      </c>
      <c r="D328" s="7" t="str">
        <f>PROPER(TRIM('raw data'!D328))</f>
        <v>Standard</v>
      </c>
      <c r="E328" s="7" t="str">
        <f>PROPER(TRIM('raw data'!E328))</f>
        <v>None</v>
      </c>
      <c r="F328" s="8">
        <v>61</v>
      </c>
      <c r="G328" s="8">
        <v>61</v>
      </c>
      <c r="H328" s="8">
        <v>62</v>
      </c>
      <c r="I328">
        <f t="shared" si="15"/>
        <v>184</v>
      </c>
      <c r="J328">
        <f t="shared" si="16"/>
        <v>61.333333333333336</v>
      </c>
      <c r="K328" s="7" t="str">
        <f t="shared" si="17"/>
        <v>pass</v>
      </c>
    </row>
    <row r="329" spans="1:11" x14ac:dyDescent="0.25">
      <c r="A329" t="str">
        <f>PROPER(TRIM('raw data'!A329))</f>
        <v>Male</v>
      </c>
      <c r="B329" t="str">
        <f>PROPER(TRIM('raw data'!B329))</f>
        <v>Group A</v>
      </c>
      <c r="C329" s="7" t="str">
        <f>PROPER(TRIM('raw data'!C329))</f>
        <v>Some College</v>
      </c>
      <c r="D329" s="7" t="str">
        <f>PROPER(TRIM('raw data'!D329))</f>
        <v>Free/Reduced</v>
      </c>
      <c r="E329" s="7" t="str">
        <f>PROPER(TRIM('raw data'!E329))</f>
        <v>None</v>
      </c>
      <c r="F329" s="8">
        <v>28</v>
      </c>
      <c r="G329" s="8">
        <v>23</v>
      </c>
      <c r="H329" s="8">
        <v>19</v>
      </c>
      <c r="I329">
        <f t="shared" si="15"/>
        <v>70</v>
      </c>
      <c r="J329">
        <f t="shared" si="16"/>
        <v>23.333333333333332</v>
      </c>
      <c r="K329" s="7" t="str">
        <f t="shared" si="17"/>
        <v>fail</v>
      </c>
    </row>
    <row r="330" spans="1:11" x14ac:dyDescent="0.25">
      <c r="A330" t="str">
        <f>PROPER(TRIM('raw data'!A330))</f>
        <v>Male</v>
      </c>
      <c r="B330" t="str">
        <f>PROPER(TRIM('raw data'!B330))</f>
        <v>Group C</v>
      </c>
      <c r="C330" s="7" t="str">
        <f>PROPER(TRIM('raw data'!C330))</f>
        <v>Associate'S Degree</v>
      </c>
      <c r="D330" s="7" t="str">
        <f>PROPER(TRIM('raw data'!D330))</f>
        <v>Standard</v>
      </c>
      <c r="E330" s="7" t="str">
        <f>PROPER(TRIM('raw data'!E330))</f>
        <v>Completed</v>
      </c>
      <c r="F330" s="8">
        <v>82</v>
      </c>
      <c r="G330" s="8">
        <v>75</v>
      </c>
      <c r="H330" s="8">
        <v>77</v>
      </c>
      <c r="I330">
        <f t="shared" si="15"/>
        <v>234</v>
      </c>
      <c r="J330">
        <f t="shared" si="16"/>
        <v>78</v>
      </c>
      <c r="K330" s="7" t="str">
        <f t="shared" si="17"/>
        <v>pass</v>
      </c>
    </row>
    <row r="331" spans="1:11" x14ac:dyDescent="0.25">
      <c r="A331" t="str">
        <f>PROPER(TRIM('raw data'!A331))</f>
        <v>Female</v>
      </c>
      <c r="B331" t="str">
        <f>PROPER(TRIM('raw data'!B331))</f>
        <v>Group B</v>
      </c>
      <c r="C331" s="7" t="str">
        <f>PROPER(TRIM('raw data'!C331))</f>
        <v>Some High School</v>
      </c>
      <c r="D331" s="7" t="str">
        <f>PROPER(TRIM('raw data'!D331))</f>
        <v>Standard</v>
      </c>
      <c r="E331" s="7" t="str">
        <f>PROPER(TRIM('raw data'!E331))</f>
        <v>None</v>
      </c>
      <c r="F331" s="8">
        <v>41</v>
      </c>
      <c r="G331" s="8">
        <v>55</v>
      </c>
      <c r="H331" s="8">
        <v>51</v>
      </c>
      <c r="I331">
        <f t="shared" si="15"/>
        <v>147</v>
      </c>
      <c r="J331">
        <f t="shared" si="16"/>
        <v>49</v>
      </c>
      <c r="K331" s="7" t="str">
        <f t="shared" si="17"/>
        <v>pass</v>
      </c>
    </row>
    <row r="332" spans="1:11" x14ac:dyDescent="0.25">
      <c r="A332" t="str">
        <f>PROPER(TRIM('raw data'!A332))</f>
        <v>Male</v>
      </c>
      <c r="B332" t="str">
        <f>PROPER(TRIM('raw data'!B332))</f>
        <v>Group C</v>
      </c>
      <c r="C332" s="7" t="str">
        <f>PROPER(TRIM('raw data'!C332))</f>
        <v>High School</v>
      </c>
      <c r="D332" s="7" t="str">
        <f>PROPER(TRIM('raw data'!D332))</f>
        <v>Standard</v>
      </c>
      <c r="E332" s="7" t="str">
        <f>PROPER(TRIM('raw data'!E332))</f>
        <v>None</v>
      </c>
      <c r="F332" s="8">
        <v>71</v>
      </c>
      <c r="G332" s="8">
        <v>60</v>
      </c>
      <c r="H332" s="8">
        <v>61</v>
      </c>
      <c r="I332">
        <f t="shared" si="15"/>
        <v>192</v>
      </c>
      <c r="J332">
        <f t="shared" si="16"/>
        <v>64</v>
      </c>
      <c r="K332" s="7" t="str">
        <f t="shared" si="17"/>
        <v>pass</v>
      </c>
    </row>
    <row r="333" spans="1:11" x14ac:dyDescent="0.25">
      <c r="A333" t="str">
        <f>PROPER(TRIM('raw data'!A333))</f>
        <v>Male</v>
      </c>
      <c r="B333" t="str">
        <f>PROPER(TRIM('raw data'!B333))</f>
        <v>Group C</v>
      </c>
      <c r="C333" s="7" t="str">
        <f>PROPER(TRIM('raw data'!C333))</f>
        <v>Associate'S Degree</v>
      </c>
      <c r="D333" s="7" t="str">
        <f>PROPER(TRIM('raw data'!D333))</f>
        <v>Standard</v>
      </c>
      <c r="E333" s="7" t="str">
        <f>PROPER(TRIM('raw data'!E333))</f>
        <v>None</v>
      </c>
      <c r="F333" s="8">
        <v>47</v>
      </c>
      <c r="G333" s="8">
        <v>37</v>
      </c>
      <c r="H333" s="8">
        <v>35</v>
      </c>
      <c r="I333">
        <f t="shared" si="15"/>
        <v>119</v>
      </c>
      <c r="J333">
        <f t="shared" si="16"/>
        <v>39.666666666666664</v>
      </c>
      <c r="K333" s="7" t="str">
        <f t="shared" si="17"/>
        <v>fail</v>
      </c>
    </row>
    <row r="334" spans="1:11" x14ac:dyDescent="0.25">
      <c r="A334" t="str">
        <f>PROPER(TRIM('raw data'!A334))</f>
        <v>Male</v>
      </c>
      <c r="B334" t="str">
        <f>PROPER(TRIM('raw data'!B334))</f>
        <v>Group E</v>
      </c>
      <c r="C334" s="7" t="str">
        <f>PROPER(TRIM('raw data'!C334))</f>
        <v>Associate'S Degree</v>
      </c>
      <c r="D334" s="7" t="str">
        <f>PROPER(TRIM('raw data'!D334))</f>
        <v>Standard</v>
      </c>
      <c r="E334" s="7" t="str">
        <f>PROPER(TRIM('raw data'!E334))</f>
        <v>Completed</v>
      </c>
      <c r="F334" s="8">
        <v>62</v>
      </c>
      <c r="G334" s="8">
        <v>56</v>
      </c>
      <c r="H334" s="8">
        <v>53</v>
      </c>
      <c r="I334">
        <f t="shared" si="15"/>
        <v>171</v>
      </c>
      <c r="J334">
        <f t="shared" si="16"/>
        <v>57</v>
      </c>
      <c r="K334" s="7" t="str">
        <f t="shared" si="17"/>
        <v>pass</v>
      </c>
    </row>
    <row r="335" spans="1:11" x14ac:dyDescent="0.25">
      <c r="A335" t="str">
        <f>PROPER(TRIM('raw data'!A335))</f>
        <v>Male</v>
      </c>
      <c r="B335" t="str">
        <f>PROPER(TRIM('raw data'!B335))</f>
        <v>Group B</v>
      </c>
      <c r="C335" s="7" t="str">
        <f>PROPER(TRIM('raw data'!C335))</f>
        <v>Associate'S Degree</v>
      </c>
      <c r="D335" s="7" t="str">
        <f>PROPER(TRIM('raw data'!D335))</f>
        <v>Standard</v>
      </c>
      <c r="E335" s="7" t="str">
        <f>PROPER(TRIM('raw data'!E335))</f>
        <v>None</v>
      </c>
      <c r="F335" s="8">
        <v>90</v>
      </c>
      <c r="G335" s="8">
        <v>78</v>
      </c>
      <c r="H335" s="8">
        <v>81</v>
      </c>
      <c r="I335">
        <f t="shared" si="15"/>
        <v>249</v>
      </c>
      <c r="J335">
        <f t="shared" si="16"/>
        <v>83</v>
      </c>
      <c r="K335" s="7" t="str">
        <f t="shared" si="17"/>
        <v>pass</v>
      </c>
    </row>
    <row r="336" spans="1:11" x14ac:dyDescent="0.25">
      <c r="A336" t="str">
        <f>PROPER(TRIM('raw data'!A336))</f>
        <v>Female</v>
      </c>
      <c r="B336" t="str">
        <f>PROPER(TRIM('raw data'!B336))</f>
        <v>Group C</v>
      </c>
      <c r="C336" s="7" t="str">
        <f>PROPER(TRIM('raw data'!C336))</f>
        <v>Bachelor'S Degree</v>
      </c>
      <c r="D336" s="7" t="str">
        <f>PROPER(TRIM('raw data'!D336))</f>
        <v>Standard</v>
      </c>
      <c r="E336" s="7" t="str">
        <f>PROPER(TRIM('raw data'!E336))</f>
        <v>None</v>
      </c>
      <c r="F336" s="8">
        <v>83</v>
      </c>
      <c r="G336" s="8">
        <v>93</v>
      </c>
      <c r="H336" s="8">
        <v>95</v>
      </c>
      <c r="I336">
        <f t="shared" si="15"/>
        <v>271</v>
      </c>
      <c r="J336">
        <f t="shared" si="16"/>
        <v>90.333333333333329</v>
      </c>
      <c r="K336" s="7" t="str">
        <f t="shared" si="17"/>
        <v>pass</v>
      </c>
    </row>
    <row r="337" spans="1:11" x14ac:dyDescent="0.25">
      <c r="A337" t="str">
        <f>PROPER(TRIM('raw data'!A337))</f>
        <v>Female</v>
      </c>
      <c r="B337" t="str">
        <f>PROPER(TRIM('raw data'!B337))</f>
        <v>Group B</v>
      </c>
      <c r="C337" s="7" t="str">
        <f>PROPER(TRIM('raw data'!C337))</f>
        <v>Some College</v>
      </c>
      <c r="D337" s="7" t="str">
        <f>PROPER(TRIM('raw data'!D337))</f>
        <v>Free/Reduced</v>
      </c>
      <c r="E337" s="7" t="str">
        <f>PROPER(TRIM('raw data'!E337))</f>
        <v>None</v>
      </c>
      <c r="F337" s="8">
        <v>61</v>
      </c>
      <c r="G337" s="8">
        <v>68</v>
      </c>
      <c r="H337" s="8">
        <v>66</v>
      </c>
      <c r="I337">
        <f t="shared" si="15"/>
        <v>195</v>
      </c>
      <c r="J337">
        <f t="shared" si="16"/>
        <v>65</v>
      </c>
      <c r="K337" s="7" t="str">
        <f t="shared" si="17"/>
        <v>pass</v>
      </c>
    </row>
    <row r="338" spans="1:11" x14ac:dyDescent="0.25">
      <c r="A338" t="str">
        <f>PROPER(TRIM('raw data'!A338))</f>
        <v>Male</v>
      </c>
      <c r="B338" t="str">
        <f>PROPER(TRIM('raw data'!B338))</f>
        <v>Group D</v>
      </c>
      <c r="C338" s="7" t="str">
        <f>PROPER(TRIM('raw data'!C338))</f>
        <v>Some High School</v>
      </c>
      <c r="D338" s="7" t="str">
        <f>PROPER(TRIM('raw data'!D338))</f>
        <v>Standard</v>
      </c>
      <c r="E338" s="7" t="str">
        <f>PROPER(TRIM('raw data'!E338))</f>
        <v>Completed</v>
      </c>
      <c r="F338" s="8">
        <v>76</v>
      </c>
      <c r="G338" s="8">
        <v>70</v>
      </c>
      <c r="H338" s="8">
        <v>69</v>
      </c>
      <c r="I338">
        <f t="shared" si="15"/>
        <v>215</v>
      </c>
      <c r="J338">
        <f t="shared" si="16"/>
        <v>71.666666666666671</v>
      </c>
      <c r="K338" s="7" t="str">
        <f t="shared" si="17"/>
        <v>pass</v>
      </c>
    </row>
    <row r="339" spans="1:11" x14ac:dyDescent="0.25">
      <c r="A339" t="str">
        <f>PROPER(TRIM('raw data'!A339))</f>
        <v>Male</v>
      </c>
      <c r="B339" t="str">
        <f>PROPER(TRIM('raw data'!B339))</f>
        <v>Group C</v>
      </c>
      <c r="C339" s="7" t="str">
        <f>PROPER(TRIM('raw data'!C339))</f>
        <v>Associate'S Degree</v>
      </c>
      <c r="D339" s="7" t="str">
        <f>PROPER(TRIM('raw data'!D339))</f>
        <v>Standard</v>
      </c>
      <c r="E339" s="7" t="str">
        <f>PROPER(TRIM('raw data'!E339))</f>
        <v>None</v>
      </c>
      <c r="F339" s="8">
        <v>49</v>
      </c>
      <c r="G339" s="8">
        <v>51</v>
      </c>
      <c r="H339" s="8">
        <v>43</v>
      </c>
      <c r="I339">
        <f t="shared" si="15"/>
        <v>143</v>
      </c>
      <c r="J339">
        <f t="shared" si="16"/>
        <v>47.666666666666664</v>
      </c>
      <c r="K339" s="7" t="str">
        <f t="shared" si="17"/>
        <v>pass</v>
      </c>
    </row>
    <row r="340" spans="1:11" x14ac:dyDescent="0.25">
      <c r="A340" t="str">
        <f>PROPER(TRIM('raw data'!A340))</f>
        <v>Female</v>
      </c>
      <c r="B340" t="str">
        <f>PROPER(TRIM('raw data'!B340))</f>
        <v>Group B</v>
      </c>
      <c r="C340" s="7" t="str">
        <f>PROPER(TRIM('raw data'!C340))</f>
        <v>Some High School</v>
      </c>
      <c r="D340" s="7" t="str">
        <f>PROPER(TRIM('raw data'!D340))</f>
        <v>Free/Reduced</v>
      </c>
      <c r="E340" s="7" t="str">
        <f>PROPER(TRIM('raw data'!E340))</f>
        <v>None</v>
      </c>
      <c r="F340" s="8">
        <v>24</v>
      </c>
      <c r="G340" s="8">
        <v>38</v>
      </c>
      <c r="H340" s="8">
        <v>27</v>
      </c>
      <c r="I340">
        <f t="shared" si="15"/>
        <v>89</v>
      </c>
      <c r="J340">
        <f t="shared" si="16"/>
        <v>29.666666666666668</v>
      </c>
      <c r="K340" s="7" t="str">
        <f t="shared" si="17"/>
        <v>fail</v>
      </c>
    </row>
    <row r="341" spans="1:11" x14ac:dyDescent="0.25">
      <c r="A341" t="str">
        <f>PROPER(TRIM('raw data'!A341))</f>
        <v>Female</v>
      </c>
      <c r="B341" t="str">
        <f>PROPER(TRIM('raw data'!B341))</f>
        <v>Group D</v>
      </c>
      <c r="C341" s="7" t="str">
        <f>PROPER(TRIM('raw data'!C341))</f>
        <v>Some High School</v>
      </c>
      <c r="D341" s="7" t="str">
        <f>PROPER(TRIM('raw data'!D341))</f>
        <v>Free/Reduced</v>
      </c>
      <c r="E341" s="7" t="str">
        <f>PROPER(TRIM('raw data'!E341))</f>
        <v>Completed</v>
      </c>
      <c r="F341" s="8">
        <v>35</v>
      </c>
      <c r="G341" s="8">
        <v>55</v>
      </c>
      <c r="H341" s="8">
        <v>60</v>
      </c>
      <c r="I341">
        <f t="shared" si="15"/>
        <v>150</v>
      </c>
      <c r="J341">
        <f t="shared" si="16"/>
        <v>50</v>
      </c>
      <c r="K341" s="7" t="str">
        <f t="shared" si="17"/>
        <v>pass</v>
      </c>
    </row>
    <row r="342" spans="1:11" x14ac:dyDescent="0.25">
      <c r="A342" t="str">
        <f>PROPER(TRIM('raw data'!A342))</f>
        <v>Male</v>
      </c>
      <c r="B342" t="str">
        <f>PROPER(TRIM('raw data'!B342))</f>
        <v>Group C</v>
      </c>
      <c r="C342" s="7" t="str">
        <f>PROPER(TRIM('raw data'!C342))</f>
        <v>High School</v>
      </c>
      <c r="D342" s="7" t="str">
        <f>PROPER(TRIM('raw data'!D342))</f>
        <v>Free/Reduced</v>
      </c>
      <c r="E342" s="7" t="str">
        <f>PROPER(TRIM('raw data'!E342))</f>
        <v>None</v>
      </c>
      <c r="F342" s="8">
        <v>58</v>
      </c>
      <c r="G342" s="8">
        <v>61</v>
      </c>
      <c r="H342" s="8">
        <v>52</v>
      </c>
      <c r="I342">
        <f t="shared" si="15"/>
        <v>171</v>
      </c>
      <c r="J342">
        <f t="shared" si="16"/>
        <v>57</v>
      </c>
      <c r="K342" s="7" t="str">
        <f t="shared" si="17"/>
        <v>pass</v>
      </c>
    </row>
    <row r="343" spans="1:11" x14ac:dyDescent="0.25">
      <c r="A343" t="str">
        <f>PROPER(TRIM('raw data'!A343))</f>
        <v>Female</v>
      </c>
      <c r="B343" t="str">
        <f>PROPER(TRIM('raw data'!B343))</f>
        <v>Group C</v>
      </c>
      <c r="C343" s="7" t="str">
        <f>PROPER(TRIM('raw data'!C343))</f>
        <v>High School</v>
      </c>
      <c r="D343" s="7" t="str">
        <f>PROPER(TRIM('raw data'!D343))</f>
        <v>Standard</v>
      </c>
      <c r="E343" s="7" t="str">
        <f>PROPER(TRIM('raw data'!E343))</f>
        <v>None</v>
      </c>
      <c r="F343" s="8">
        <v>61</v>
      </c>
      <c r="G343" s="8">
        <v>73</v>
      </c>
      <c r="H343" s="8">
        <v>63</v>
      </c>
      <c r="I343">
        <f t="shared" si="15"/>
        <v>197</v>
      </c>
      <c r="J343">
        <f t="shared" si="16"/>
        <v>65.666666666666671</v>
      </c>
      <c r="K343" s="7" t="str">
        <f t="shared" si="17"/>
        <v>pass</v>
      </c>
    </row>
    <row r="344" spans="1:11" x14ac:dyDescent="0.25">
      <c r="A344" t="str">
        <f>PROPER(TRIM('raw data'!A344))</f>
        <v>Female</v>
      </c>
      <c r="B344" t="str">
        <f>PROPER(TRIM('raw data'!B344))</f>
        <v>Group B</v>
      </c>
      <c r="C344" s="7" t="str">
        <f>PROPER(TRIM('raw data'!C344))</f>
        <v>High School</v>
      </c>
      <c r="D344" s="7" t="str">
        <f>PROPER(TRIM('raw data'!D344))</f>
        <v>Standard</v>
      </c>
      <c r="E344" s="7" t="str">
        <f>PROPER(TRIM('raw data'!E344))</f>
        <v>Completed</v>
      </c>
      <c r="F344" s="8">
        <v>69</v>
      </c>
      <c r="G344" s="8">
        <v>76</v>
      </c>
      <c r="H344" s="8">
        <v>74</v>
      </c>
      <c r="I344">
        <f t="shared" si="15"/>
        <v>219</v>
      </c>
      <c r="J344">
        <f t="shared" si="16"/>
        <v>73</v>
      </c>
      <c r="K344" s="7" t="str">
        <f t="shared" si="17"/>
        <v>pass</v>
      </c>
    </row>
    <row r="345" spans="1:11" x14ac:dyDescent="0.25">
      <c r="A345" t="str">
        <f>PROPER(TRIM('raw data'!A345))</f>
        <v>Male</v>
      </c>
      <c r="B345" t="str">
        <f>PROPER(TRIM('raw data'!B345))</f>
        <v>Group D</v>
      </c>
      <c r="C345" s="7" t="str">
        <f>PROPER(TRIM('raw data'!C345))</f>
        <v>Associate'S Degree</v>
      </c>
      <c r="D345" s="7" t="str">
        <f>PROPER(TRIM('raw data'!D345))</f>
        <v>Standard</v>
      </c>
      <c r="E345" s="7" t="str">
        <f>PROPER(TRIM('raw data'!E345))</f>
        <v>Completed</v>
      </c>
      <c r="F345" s="8">
        <v>67</v>
      </c>
      <c r="G345" s="8">
        <v>72</v>
      </c>
      <c r="H345" s="8">
        <v>67</v>
      </c>
      <c r="I345">
        <f t="shared" si="15"/>
        <v>206</v>
      </c>
      <c r="J345">
        <f t="shared" si="16"/>
        <v>68.666666666666671</v>
      </c>
      <c r="K345" s="7" t="str">
        <f t="shared" si="17"/>
        <v>pass</v>
      </c>
    </row>
    <row r="346" spans="1:11" x14ac:dyDescent="0.25">
      <c r="A346" t="str">
        <f>PROPER(TRIM('raw data'!A346))</f>
        <v>Male</v>
      </c>
      <c r="B346" t="str">
        <f>PROPER(TRIM('raw data'!B346))</f>
        <v>Group D</v>
      </c>
      <c r="C346" s="7" t="str">
        <f>PROPER(TRIM('raw data'!C346))</f>
        <v>Some College</v>
      </c>
      <c r="D346" s="7" t="str">
        <f>PROPER(TRIM('raw data'!D346))</f>
        <v>Standard</v>
      </c>
      <c r="E346" s="7" t="str">
        <f>PROPER(TRIM('raw data'!E346))</f>
        <v>None</v>
      </c>
      <c r="F346" s="8">
        <v>79</v>
      </c>
      <c r="G346" s="8">
        <v>73</v>
      </c>
      <c r="H346" s="8">
        <v>67</v>
      </c>
      <c r="I346">
        <f t="shared" si="15"/>
        <v>219</v>
      </c>
      <c r="J346">
        <f t="shared" si="16"/>
        <v>73</v>
      </c>
      <c r="K346" s="7" t="str">
        <f t="shared" si="17"/>
        <v>pass</v>
      </c>
    </row>
    <row r="347" spans="1:11" x14ac:dyDescent="0.25">
      <c r="A347" t="str">
        <f>PROPER(TRIM('raw data'!A347))</f>
        <v>Female</v>
      </c>
      <c r="B347" t="str">
        <f>PROPER(TRIM('raw data'!B347))</f>
        <v>Group C</v>
      </c>
      <c r="C347" s="7" t="str">
        <f>PROPER(TRIM('raw data'!C347))</f>
        <v>High School</v>
      </c>
      <c r="D347" s="7" t="str">
        <f>PROPER(TRIM('raw data'!D347))</f>
        <v>Standard</v>
      </c>
      <c r="E347" s="7" t="str">
        <f>PROPER(TRIM('raw data'!E347))</f>
        <v>None</v>
      </c>
      <c r="F347" s="8">
        <v>72</v>
      </c>
      <c r="G347" s="8">
        <v>80</v>
      </c>
      <c r="H347" s="8">
        <v>75</v>
      </c>
      <c r="I347">
        <f t="shared" si="15"/>
        <v>227</v>
      </c>
      <c r="J347">
        <f t="shared" si="16"/>
        <v>75.666666666666671</v>
      </c>
      <c r="K347" s="7" t="str">
        <f t="shared" si="17"/>
        <v>pass</v>
      </c>
    </row>
    <row r="348" spans="1:11" x14ac:dyDescent="0.25">
      <c r="A348" t="str">
        <f>PROPER(TRIM('raw data'!A348))</f>
        <v>Male</v>
      </c>
      <c r="B348" t="str">
        <f>PROPER(TRIM('raw data'!B348))</f>
        <v>Group B</v>
      </c>
      <c r="C348" s="7" t="str">
        <f>PROPER(TRIM('raw data'!C348))</f>
        <v>Some College</v>
      </c>
      <c r="D348" s="7" t="str">
        <f>PROPER(TRIM('raw data'!D348))</f>
        <v>Standard</v>
      </c>
      <c r="E348" s="7" t="str">
        <f>PROPER(TRIM('raw data'!E348))</f>
        <v>None</v>
      </c>
      <c r="F348" s="8">
        <v>62</v>
      </c>
      <c r="G348" s="8">
        <v>61</v>
      </c>
      <c r="H348" s="8">
        <v>57</v>
      </c>
      <c r="I348">
        <f t="shared" si="15"/>
        <v>180</v>
      </c>
      <c r="J348">
        <f t="shared" si="16"/>
        <v>60</v>
      </c>
      <c r="K348" s="7" t="str">
        <f t="shared" si="17"/>
        <v>pass</v>
      </c>
    </row>
    <row r="349" spans="1:11" x14ac:dyDescent="0.25">
      <c r="A349" t="str">
        <f>PROPER(TRIM('raw data'!A349))</f>
        <v>Female</v>
      </c>
      <c r="B349" t="str">
        <f>PROPER(TRIM('raw data'!B349))</f>
        <v>Group C</v>
      </c>
      <c r="C349" s="7" t="str">
        <f>PROPER(TRIM('raw data'!C349))</f>
        <v>Bachelor'S Degree</v>
      </c>
      <c r="D349" s="7" t="str">
        <f>PROPER(TRIM('raw data'!D349))</f>
        <v>Standard</v>
      </c>
      <c r="E349" s="7" t="str">
        <f>PROPER(TRIM('raw data'!E349))</f>
        <v>Completed</v>
      </c>
      <c r="F349" s="8">
        <v>77</v>
      </c>
      <c r="G349" s="8">
        <v>94</v>
      </c>
      <c r="H349" s="8">
        <v>95</v>
      </c>
      <c r="I349">
        <f t="shared" si="15"/>
        <v>266</v>
      </c>
      <c r="J349">
        <f t="shared" si="16"/>
        <v>88.666666666666671</v>
      </c>
      <c r="K349" s="7" t="str">
        <f t="shared" si="17"/>
        <v>pass</v>
      </c>
    </row>
    <row r="350" spans="1:11" x14ac:dyDescent="0.25">
      <c r="A350" t="str">
        <f>PROPER(TRIM('raw data'!A350))</f>
        <v>Male</v>
      </c>
      <c r="B350" t="str">
        <f>PROPER(TRIM('raw data'!B350))</f>
        <v>Group D</v>
      </c>
      <c r="C350" s="7" t="str">
        <f>PROPER(TRIM('raw data'!C350))</f>
        <v>High School</v>
      </c>
      <c r="D350" s="7" t="str">
        <f>PROPER(TRIM('raw data'!D350))</f>
        <v>Free/Reduced</v>
      </c>
      <c r="E350" s="7" t="str">
        <f>PROPER(TRIM('raw data'!E350))</f>
        <v>None</v>
      </c>
      <c r="F350" s="8">
        <v>75</v>
      </c>
      <c r="G350" s="8">
        <v>74</v>
      </c>
      <c r="H350" s="8">
        <v>66</v>
      </c>
      <c r="I350">
        <f t="shared" si="15"/>
        <v>215</v>
      </c>
      <c r="J350">
        <f t="shared" si="16"/>
        <v>71.666666666666671</v>
      </c>
      <c r="K350" s="7" t="str">
        <f t="shared" si="17"/>
        <v>pass</v>
      </c>
    </row>
    <row r="351" spans="1:11" x14ac:dyDescent="0.25">
      <c r="A351" t="str">
        <f>PROPER(TRIM('raw data'!A351))</f>
        <v>Male</v>
      </c>
      <c r="B351" t="str">
        <f>PROPER(TRIM('raw data'!B351))</f>
        <v>Group E</v>
      </c>
      <c r="C351" s="7" t="str">
        <f>PROPER(TRIM('raw data'!C351))</f>
        <v>Associate'S Degree</v>
      </c>
      <c r="D351" s="7" t="str">
        <f>PROPER(TRIM('raw data'!D351))</f>
        <v>Standard</v>
      </c>
      <c r="E351" s="7" t="str">
        <f>PROPER(TRIM('raw data'!E351))</f>
        <v>None</v>
      </c>
      <c r="F351" s="8">
        <v>87</v>
      </c>
      <c r="G351" s="8">
        <v>74</v>
      </c>
      <c r="H351" s="8">
        <v>76</v>
      </c>
      <c r="I351">
        <f t="shared" si="15"/>
        <v>237</v>
      </c>
      <c r="J351">
        <f t="shared" si="16"/>
        <v>79</v>
      </c>
      <c r="K351" s="7" t="str">
        <f t="shared" si="17"/>
        <v>pass</v>
      </c>
    </row>
    <row r="352" spans="1:11" x14ac:dyDescent="0.25">
      <c r="A352" t="str">
        <f>PROPER(TRIM('raw data'!A352))</f>
        <v>Female</v>
      </c>
      <c r="B352" t="str">
        <f>PROPER(TRIM('raw data'!B352))</f>
        <v>Group B</v>
      </c>
      <c r="C352" s="7" t="str">
        <f>PROPER(TRIM('raw data'!C352))</f>
        <v>Bachelor'S Degree</v>
      </c>
      <c r="D352" s="7" t="str">
        <f>PROPER(TRIM('raw data'!D352))</f>
        <v>Standard</v>
      </c>
      <c r="E352" s="7" t="str">
        <f>PROPER(TRIM('raw data'!E352))</f>
        <v>None</v>
      </c>
      <c r="F352" s="8">
        <v>52</v>
      </c>
      <c r="G352" s="8">
        <v>65</v>
      </c>
      <c r="H352" s="8">
        <v>69</v>
      </c>
      <c r="I352">
        <f t="shared" si="15"/>
        <v>186</v>
      </c>
      <c r="J352">
        <f t="shared" si="16"/>
        <v>62</v>
      </c>
      <c r="K352" s="7" t="str">
        <f t="shared" si="17"/>
        <v>pass</v>
      </c>
    </row>
    <row r="353" spans="1:11" x14ac:dyDescent="0.25">
      <c r="A353" t="str">
        <f>PROPER(TRIM('raw data'!A353))</f>
        <v>Male</v>
      </c>
      <c r="B353" t="str">
        <f>PROPER(TRIM('raw data'!B353))</f>
        <v>Group E</v>
      </c>
      <c r="C353" s="7" t="str">
        <f>PROPER(TRIM('raw data'!C353))</f>
        <v>Some College</v>
      </c>
      <c r="D353" s="7" t="str">
        <f>PROPER(TRIM('raw data'!D353))</f>
        <v>Standard</v>
      </c>
      <c r="E353" s="7" t="str">
        <f>PROPER(TRIM('raw data'!E353))</f>
        <v>None</v>
      </c>
      <c r="F353" s="8">
        <v>66</v>
      </c>
      <c r="G353" s="8">
        <v>57</v>
      </c>
      <c r="H353" s="8">
        <v>52</v>
      </c>
      <c r="I353">
        <f t="shared" si="15"/>
        <v>175</v>
      </c>
      <c r="J353">
        <f t="shared" si="16"/>
        <v>58.333333333333336</v>
      </c>
      <c r="K353" s="7" t="str">
        <f t="shared" si="17"/>
        <v>pass</v>
      </c>
    </row>
    <row r="354" spans="1:11" x14ac:dyDescent="0.25">
      <c r="A354" t="str">
        <f>PROPER(TRIM('raw data'!A354))</f>
        <v>Female</v>
      </c>
      <c r="B354" t="str">
        <f>PROPER(TRIM('raw data'!B354))</f>
        <v>Group C</v>
      </c>
      <c r="C354" s="7" t="str">
        <f>PROPER(TRIM('raw data'!C354))</f>
        <v>Some College</v>
      </c>
      <c r="D354" s="7" t="str">
        <f>PROPER(TRIM('raw data'!D354))</f>
        <v>Standard</v>
      </c>
      <c r="E354" s="7" t="str">
        <f>PROPER(TRIM('raw data'!E354))</f>
        <v>Completed</v>
      </c>
      <c r="F354" s="8">
        <v>63</v>
      </c>
      <c r="G354" s="8">
        <v>78</v>
      </c>
      <c r="H354" s="8">
        <v>80</v>
      </c>
      <c r="I354">
        <f t="shared" si="15"/>
        <v>221</v>
      </c>
      <c r="J354">
        <f t="shared" si="16"/>
        <v>73.666666666666671</v>
      </c>
      <c r="K354" s="7" t="str">
        <f t="shared" si="17"/>
        <v>pass</v>
      </c>
    </row>
    <row r="355" spans="1:11" x14ac:dyDescent="0.25">
      <c r="A355" t="str">
        <f>PROPER(TRIM('raw data'!A355))</f>
        <v>Female</v>
      </c>
      <c r="B355" t="str">
        <f>PROPER(TRIM('raw data'!B355))</f>
        <v>Group C</v>
      </c>
      <c r="C355" s="7" t="str">
        <f>PROPER(TRIM('raw data'!C355))</f>
        <v>Associate'S Degree</v>
      </c>
      <c r="D355" s="7" t="str">
        <f>PROPER(TRIM('raw data'!D355))</f>
        <v>Standard</v>
      </c>
      <c r="E355" s="7" t="str">
        <f>PROPER(TRIM('raw data'!E355))</f>
        <v>None</v>
      </c>
      <c r="F355" s="8">
        <v>46</v>
      </c>
      <c r="G355" s="8">
        <v>58</v>
      </c>
      <c r="H355" s="8">
        <v>57</v>
      </c>
      <c r="I355">
        <f t="shared" si="15"/>
        <v>161</v>
      </c>
      <c r="J355">
        <f t="shared" si="16"/>
        <v>53.666666666666664</v>
      </c>
      <c r="K355" s="7" t="str">
        <f t="shared" si="17"/>
        <v>pass</v>
      </c>
    </row>
    <row r="356" spans="1:11" x14ac:dyDescent="0.25">
      <c r="A356" t="str">
        <f>PROPER(TRIM('raw data'!A356))</f>
        <v>Female</v>
      </c>
      <c r="B356" t="str">
        <f>PROPER(TRIM('raw data'!B356))</f>
        <v>Group C</v>
      </c>
      <c r="C356" s="7" t="str">
        <f>PROPER(TRIM('raw data'!C356))</f>
        <v>Some College</v>
      </c>
      <c r="D356" s="7" t="str">
        <f>PROPER(TRIM('raw data'!D356))</f>
        <v>Standard</v>
      </c>
      <c r="E356" s="7" t="str">
        <f>PROPER(TRIM('raw data'!E356))</f>
        <v>None</v>
      </c>
      <c r="F356" s="8">
        <v>59</v>
      </c>
      <c r="G356" s="8">
        <v>71</v>
      </c>
      <c r="H356" s="8">
        <v>70</v>
      </c>
      <c r="I356">
        <f t="shared" si="15"/>
        <v>200</v>
      </c>
      <c r="J356">
        <f t="shared" si="16"/>
        <v>66.666666666666671</v>
      </c>
      <c r="K356" s="7" t="str">
        <f t="shared" si="17"/>
        <v>pass</v>
      </c>
    </row>
    <row r="357" spans="1:11" x14ac:dyDescent="0.25">
      <c r="A357" t="str">
        <f>PROPER(TRIM('raw data'!A357))</f>
        <v>Female</v>
      </c>
      <c r="B357" t="str">
        <f>PROPER(TRIM('raw data'!B357))</f>
        <v>Group B</v>
      </c>
      <c r="C357" s="7" t="str">
        <f>PROPER(TRIM('raw data'!C357))</f>
        <v>Bachelor'S Degree</v>
      </c>
      <c r="D357" s="7" t="str">
        <f>PROPER(TRIM('raw data'!D357))</f>
        <v>Standard</v>
      </c>
      <c r="E357" s="7" t="str">
        <f>PROPER(TRIM('raw data'!E357))</f>
        <v>None</v>
      </c>
      <c r="F357" s="8">
        <v>61</v>
      </c>
      <c r="G357" s="8">
        <v>72</v>
      </c>
      <c r="H357" s="8">
        <v>70</v>
      </c>
      <c r="I357">
        <f t="shared" si="15"/>
        <v>203</v>
      </c>
      <c r="J357">
        <f t="shared" si="16"/>
        <v>67.666666666666671</v>
      </c>
      <c r="K357" s="7" t="str">
        <f t="shared" si="17"/>
        <v>pass</v>
      </c>
    </row>
    <row r="358" spans="1:11" x14ac:dyDescent="0.25">
      <c r="A358" t="str">
        <f>PROPER(TRIM('raw data'!A358))</f>
        <v>Male</v>
      </c>
      <c r="B358" t="str">
        <f>PROPER(TRIM('raw data'!B358))</f>
        <v>Group A</v>
      </c>
      <c r="C358" s="7" t="str">
        <f>PROPER(TRIM('raw data'!C358))</f>
        <v>Associate'S Degree</v>
      </c>
      <c r="D358" s="7" t="str">
        <f>PROPER(TRIM('raw data'!D358))</f>
        <v>Standard</v>
      </c>
      <c r="E358" s="7" t="str">
        <f>PROPER(TRIM('raw data'!E358))</f>
        <v>None</v>
      </c>
      <c r="F358" s="8">
        <v>63</v>
      </c>
      <c r="G358" s="8">
        <v>61</v>
      </c>
      <c r="H358" s="8">
        <v>61</v>
      </c>
      <c r="I358">
        <f t="shared" si="15"/>
        <v>185</v>
      </c>
      <c r="J358">
        <f t="shared" si="16"/>
        <v>61.666666666666664</v>
      </c>
      <c r="K358" s="7" t="str">
        <f t="shared" si="17"/>
        <v>pass</v>
      </c>
    </row>
    <row r="359" spans="1:11" x14ac:dyDescent="0.25">
      <c r="A359" t="str">
        <f>PROPER(TRIM('raw data'!A359))</f>
        <v>Female</v>
      </c>
      <c r="B359" t="str">
        <f>PROPER(TRIM('raw data'!B359))</f>
        <v>Group C</v>
      </c>
      <c r="C359" s="7" t="str">
        <f>PROPER(TRIM('raw data'!C359))</f>
        <v>Some College</v>
      </c>
      <c r="D359" s="7" t="str">
        <f>PROPER(TRIM('raw data'!D359))</f>
        <v>Free/Reduced</v>
      </c>
      <c r="E359" s="7" t="str">
        <f>PROPER(TRIM('raw data'!E359))</f>
        <v>Completed</v>
      </c>
      <c r="F359" s="8">
        <v>42</v>
      </c>
      <c r="G359" s="8">
        <v>66</v>
      </c>
      <c r="H359" s="8">
        <v>69</v>
      </c>
      <c r="I359">
        <f t="shared" si="15"/>
        <v>177</v>
      </c>
      <c r="J359">
        <f t="shared" si="16"/>
        <v>59</v>
      </c>
      <c r="K359" s="7" t="str">
        <f t="shared" si="17"/>
        <v>pass</v>
      </c>
    </row>
    <row r="360" spans="1:11" x14ac:dyDescent="0.25">
      <c r="A360" t="str">
        <f>PROPER(TRIM('raw data'!A360))</f>
        <v>Male</v>
      </c>
      <c r="B360" t="str">
        <f>PROPER(TRIM('raw data'!B360))</f>
        <v>Group D</v>
      </c>
      <c r="C360" s="7" t="str">
        <f>PROPER(TRIM('raw data'!C360))</f>
        <v>Some College</v>
      </c>
      <c r="D360" s="7" t="str">
        <f>PROPER(TRIM('raw data'!D360))</f>
        <v>Free/Reduced</v>
      </c>
      <c r="E360" s="7" t="str">
        <f>PROPER(TRIM('raw data'!E360))</f>
        <v>None</v>
      </c>
      <c r="F360" s="8">
        <v>59</v>
      </c>
      <c r="G360" s="8">
        <v>62</v>
      </c>
      <c r="H360" s="8">
        <v>61</v>
      </c>
      <c r="I360">
        <f t="shared" si="15"/>
        <v>182</v>
      </c>
      <c r="J360">
        <f t="shared" si="16"/>
        <v>60.666666666666664</v>
      </c>
      <c r="K360" s="7" t="str">
        <f t="shared" si="17"/>
        <v>pass</v>
      </c>
    </row>
    <row r="361" spans="1:11" x14ac:dyDescent="0.25">
      <c r="A361" t="str">
        <f>PROPER(TRIM('raw data'!A361))</f>
        <v>Female</v>
      </c>
      <c r="B361" t="str">
        <f>PROPER(TRIM('raw data'!B361))</f>
        <v>Group D</v>
      </c>
      <c r="C361" s="7" t="str">
        <f>PROPER(TRIM('raw data'!C361))</f>
        <v>Some College</v>
      </c>
      <c r="D361" s="7" t="str">
        <f>PROPER(TRIM('raw data'!D361))</f>
        <v>Standard</v>
      </c>
      <c r="E361" s="7" t="str">
        <f>PROPER(TRIM('raw data'!E361))</f>
        <v>None</v>
      </c>
      <c r="F361" s="8">
        <v>80</v>
      </c>
      <c r="G361" s="8">
        <v>90</v>
      </c>
      <c r="H361" s="8">
        <v>89</v>
      </c>
      <c r="I361">
        <f t="shared" si="15"/>
        <v>259</v>
      </c>
      <c r="J361">
        <f t="shared" si="16"/>
        <v>86.333333333333329</v>
      </c>
      <c r="K361" s="7" t="str">
        <f t="shared" si="17"/>
        <v>pass</v>
      </c>
    </row>
    <row r="362" spans="1:11" x14ac:dyDescent="0.25">
      <c r="A362" t="str">
        <f>PROPER(TRIM('raw data'!A362))</f>
        <v>Female</v>
      </c>
      <c r="B362" t="str">
        <f>PROPER(TRIM('raw data'!B362))</f>
        <v>Group B</v>
      </c>
      <c r="C362" s="7" t="str">
        <f>PROPER(TRIM('raw data'!C362))</f>
        <v>High School</v>
      </c>
      <c r="D362" s="7" t="str">
        <f>PROPER(TRIM('raw data'!D362))</f>
        <v>Standard</v>
      </c>
      <c r="E362" s="7" t="str">
        <f>PROPER(TRIM('raw data'!E362))</f>
        <v>None</v>
      </c>
      <c r="F362" s="8">
        <v>58</v>
      </c>
      <c r="G362" s="8">
        <v>62</v>
      </c>
      <c r="H362" s="8">
        <v>59</v>
      </c>
      <c r="I362">
        <f t="shared" si="15"/>
        <v>179</v>
      </c>
      <c r="J362">
        <f t="shared" si="16"/>
        <v>59.666666666666664</v>
      </c>
      <c r="K362" s="7" t="str">
        <f t="shared" si="17"/>
        <v>pass</v>
      </c>
    </row>
    <row r="363" spans="1:11" x14ac:dyDescent="0.25">
      <c r="A363" t="str">
        <f>PROPER(TRIM('raw data'!A363))</f>
        <v>Male</v>
      </c>
      <c r="B363" t="str">
        <f>PROPER(TRIM('raw data'!B363))</f>
        <v>Group B</v>
      </c>
      <c r="C363" s="7" t="str">
        <f>PROPER(TRIM('raw data'!C363))</f>
        <v>Some High School</v>
      </c>
      <c r="D363" s="7" t="str">
        <f>PROPER(TRIM('raw data'!D363))</f>
        <v>Standard</v>
      </c>
      <c r="E363" s="7" t="str">
        <f>PROPER(TRIM('raw data'!E363))</f>
        <v>Completed</v>
      </c>
      <c r="F363" s="8">
        <v>85</v>
      </c>
      <c r="G363" s="8">
        <v>84</v>
      </c>
      <c r="H363" s="8">
        <v>78</v>
      </c>
      <c r="I363">
        <f t="shared" si="15"/>
        <v>247</v>
      </c>
      <c r="J363">
        <f t="shared" si="16"/>
        <v>82.333333333333329</v>
      </c>
      <c r="K363" s="7" t="str">
        <f t="shared" si="17"/>
        <v>pass</v>
      </c>
    </row>
    <row r="364" spans="1:11" x14ac:dyDescent="0.25">
      <c r="A364" t="str">
        <f>PROPER(TRIM('raw data'!A364))</f>
        <v>Female</v>
      </c>
      <c r="B364" t="str">
        <f>PROPER(TRIM('raw data'!B364))</f>
        <v>Group C</v>
      </c>
      <c r="C364" s="7" t="str">
        <f>PROPER(TRIM('raw data'!C364))</f>
        <v>Some College</v>
      </c>
      <c r="D364" s="7" t="str">
        <f>PROPER(TRIM('raw data'!D364))</f>
        <v>Standard</v>
      </c>
      <c r="E364" s="7" t="str">
        <f>PROPER(TRIM('raw data'!E364))</f>
        <v>None</v>
      </c>
      <c r="F364" s="8">
        <v>52</v>
      </c>
      <c r="G364" s="8">
        <v>58</v>
      </c>
      <c r="H364" s="8">
        <v>58</v>
      </c>
      <c r="I364">
        <f t="shared" si="15"/>
        <v>168</v>
      </c>
      <c r="J364">
        <f t="shared" si="16"/>
        <v>56</v>
      </c>
      <c r="K364" s="7" t="str">
        <f t="shared" si="17"/>
        <v>pass</v>
      </c>
    </row>
    <row r="365" spans="1:11" x14ac:dyDescent="0.25">
      <c r="A365" t="str">
        <f>PROPER(TRIM('raw data'!A365))</f>
        <v>Female</v>
      </c>
      <c r="B365" t="str">
        <f>PROPER(TRIM('raw data'!B365))</f>
        <v>Group D</v>
      </c>
      <c r="C365" s="7" t="str">
        <f>PROPER(TRIM('raw data'!C365))</f>
        <v>Some High School</v>
      </c>
      <c r="D365" s="7" t="str">
        <f>PROPER(TRIM('raw data'!D365))</f>
        <v>Free/Reduced</v>
      </c>
      <c r="E365" s="7" t="str">
        <f>PROPER(TRIM('raw data'!E365))</f>
        <v>None</v>
      </c>
      <c r="F365" s="8">
        <v>27</v>
      </c>
      <c r="G365" s="8">
        <v>34</v>
      </c>
      <c r="H365" s="8">
        <v>32</v>
      </c>
      <c r="I365">
        <f t="shared" si="15"/>
        <v>93</v>
      </c>
      <c r="J365">
        <f t="shared" si="16"/>
        <v>31</v>
      </c>
      <c r="K365" s="7" t="str">
        <f t="shared" si="17"/>
        <v>fail</v>
      </c>
    </row>
    <row r="366" spans="1:11" x14ac:dyDescent="0.25">
      <c r="A366" t="str">
        <f>PROPER(TRIM('raw data'!A366))</f>
        <v>Male</v>
      </c>
      <c r="B366" t="str">
        <f>PROPER(TRIM('raw data'!B366))</f>
        <v>Group C</v>
      </c>
      <c r="C366" s="7" t="str">
        <f>PROPER(TRIM('raw data'!C366))</f>
        <v>Some College</v>
      </c>
      <c r="D366" s="7" t="str">
        <f>PROPER(TRIM('raw data'!D366))</f>
        <v>Standard</v>
      </c>
      <c r="E366" s="7" t="str">
        <f>PROPER(TRIM('raw data'!E366))</f>
        <v>None</v>
      </c>
      <c r="F366" s="8">
        <v>59</v>
      </c>
      <c r="G366" s="8">
        <v>60</v>
      </c>
      <c r="H366" s="8">
        <v>58</v>
      </c>
      <c r="I366">
        <f t="shared" si="15"/>
        <v>177</v>
      </c>
      <c r="J366">
        <f t="shared" si="16"/>
        <v>59</v>
      </c>
      <c r="K366" s="7" t="str">
        <f t="shared" si="17"/>
        <v>pass</v>
      </c>
    </row>
    <row r="367" spans="1:11" x14ac:dyDescent="0.25">
      <c r="A367" t="str">
        <f>PROPER(TRIM('raw data'!A367))</f>
        <v>Male</v>
      </c>
      <c r="B367" t="str">
        <f>PROPER(TRIM('raw data'!B367))</f>
        <v>Group A</v>
      </c>
      <c r="C367" s="7" t="str">
        <f>PROPER(TRIM('raw data'!C367))</f>
        <v>Bachelor'S Degree</v>
      </c>
      <c r="D367" s="7" t="str">
        <f>PROPER(TRIM('raw data'!D367))</f>
        <v>Free/Reduced</v>
      </c>
      <c r="E367" s="7" t="str">
        <f>PROPER(TRIM('raw data'!E367))</f>
        <v>Completed</v>
      </c>
      <c r="F367" s="8">
        <v>49</v>
      </c>
      <c r="G367" s="8">
        <v>58</v>
      </c>
      <c r="H367" s="8">
        <v>60</v>
      </c>
      <c r="I367">
        <f t="shared" si="15"/>
        <v>167</v>
      </c>
      <c r="J367">
        <f t="shared" si="16"/>
        <v>55.666666666666664</v>
      </c>
      <c r="K367" s="7" t="str">
        <f t="shared" si="17"/>
        <v>pass</v>
      </c>
    </row>
    <row r="368" spans="1:11" x14ac:dyDescent="0.25">
      <c r="A368" t="str">
        <f>PROPER(TRIM('raw data'!A368))</f>
        <v>Male</v>
      </c>
      <c r="B368" t="str">
        <f>PROPER(TRIM('raw data'!B368))</f>
        <v>Group C</v>
      </c>
      <c r="C368" s="7" t="str">
        <f>PROPER(TRIM('raw data'!C368))</f>
        <v>High School</v>
      </c>
      <c r="D368" s="7" t="str">
        <f>PROPER(TRIM('raw data'!D368))</f>
        <v>Standard</v>
      </c>
      <c r="E368" s="7" t="str">
        <f>PROPER(TRIM('raw data'!E368))</f>
        <v>Completed</v>
      </c>
      <c r="F368" s="8">
        <v>69</v>
      </c>
      <c r="G368" s="8">
        <v>58</v>
      </c>
      <c r="H368" s="8">
        <v>53</v>
      </c>
      <c r="I368">
        <f t="shared" si="15"/>
        <v>180</v>
      </c>
      <c r="J368">
        <f t="shared" si="16"/>
        <v>60</v>
      </c>
      <c r="K368" s="7" t="str">
        <f t="shared" si="17"/>
        <v>pass</v>
      </c>
    </row>
    <row r="369" spans="1:11" x14ac:dyDescent="0.25">
      <c r="A369" t="str">
        <f>PROPER(TRIM('raw data'!A369))</f>
        <v>Male</v>
      </c>
      <c r="B369" t="str">
        <f>PROPER(TRIM('raw data'!B369))</f>
        <v>Group C</v>
      </c>
      <c r="C369" s="7" t="str">
        <f>PROPER(TRIM('raw data'!C369))</f>
        <v>Bachelor'S Degree</v>
      </c>
      <c r="D369" s="7" t="str">
        <f>PROPER(TRIM('raw data'!D369))</f>
        <v>Free/Reduced</v>
      </c>
      <c r="E369" s="7" t="str">
        <f>PROPER(TRIM('raw data'!E369))</f>
        <v>None</v>
      </c>
      <c r="F369" s="8">
        <v>61</v>
      </c>
      <c r="G369" s="8">
        <v>66</v>
      </c>
      <c r="H369" s="8">
        <v>61</v>
      </c>
      <c r="I369">
        <f t="shared" si="15"/>
        <v>188</v>
      </c>
      <c r="J369">
        <f t="shared" si="16"/>
        <v>62.666666666666664</v>
      </c>
      <c r="K369" s="7" t="str">
        <f t="shared" si="17"/>
        <v>pass</v>
      </c>
    </row>
    <row r="370" spans="1:11" x14ac:dyDescent="0.25">
      <c r="A370" t="str">
        <f>PROPER(TRIM('raw data'!A370))</f>
        <v>Female</v>
      </c>
      <c r="B370" t="str">
        <f>PROPER(TRIM('raw data'!B370))</f>
        <v>Group A</v>
      </c>
      <c r="C370" s="7" t="str">
        <f>PROPER(TRIM('raw data'!C370))</f>
        <v>Some High School</v>
      </c>
      <c r="D370" s="7" t="str">
        <f>PROPER(TRIM('raw data'!D370))</f>
        <v>Free/Reduced</v>
      </c>
      <c r="E370" s="7" t="str">
        <f>PROPER(TRIM('raw data'!E370))</f>
        <v>None</v>
      </c>
      <c r="F370" s="8">
        <v>44</v>
      </c>
      <c r="G370" s="8">
        <v>64</v>
      </c>
      <c r="H370" s="8">
        <v>58</v>
      </c>
      <c r="I370">
        <f t="shared" si="15"/>
        <v>166</v>
      </c>
      <c r="J370">
        <f t="shared" si="16"/>
        <v>55.333333333333336</v>
      </c>
      <c r="K370" s="7" t="str">
        <f t="shared" si="17"/>
        <v>pass</v>
      </c>
    </row>
    <row r="371" spans="1:11" x14ac:dyDescent="0.25">
      <c r="A371" t="str">
        <f>PROPER(TRIM('raw data'!A371))</f>
        <v>Female</v>
      </c>
      <c r="B371" t="str">
        <f>PROPER(TRIM('raw data'!B371))</f>
        <v>Group D</v>
      </c>
      <c r="C371" s="7" t="str">
        <f>PROPER(TRIM('raw data'!C371))</f>
        <v>Some High School</v>
      </c>
      <c r="D371" s="7" t="str">
        <f>PROPER(TRIM('raw data'!D371))</f>
        <v>Standard</v>
      </c>
      <c r="E371" s="7" t="str">
        <f>PROPER(TRIM('raw data'!E371))</f>
        <v>None</v>
      </c>
      <c r="F371" s="8">
        <v>73</v>
      </c>
      <c r="G371" s="8">
        <v>84</v>
      </c>
      <c r="H371" s="8">
        <v>85</v>
      </c>
      <c r="I371">
        <f t="shared" si="15"/>
        <v>242</v>
      </c>
      <c r="J371">
        <f t="shared" si="16"/>
        <v>80.666666666666671</v>
      </c>
      <c r="K371" s="7" t="str">
        <f t="shared" si="17"/>
        <v>pass</v>
      </c>
    </row>
    <row r="372" spans="1:11" x14ac:dyDescent="0.25">
      <c r="A372" t="str">
        <f>PROPER(TRIM('raw data'!A372))</f>
        <v>Male</v>
      </c>
      <c r="B372" t="str">
        <f>PROPER(TRIM('raw data'!B372))</f>
        <v>Group E</v>
      </c>
      <c r="C372" s="7" t="str">
        <f>PROPER(TRIM('raw data'!C372))</f>
        <v>Some College</v>
      </c>
      <c r="D372" s="7" t="str">
        <f>PROPER(TRIM('raw data'!D372))</f>
        <v>Standard</v>
      </c>
      <c r="E372" s="7" t="str">
        <f>PROPER(TRIM('raw data'!E372))</f>
        <v>None</v>
      </c>
      <c r="F372" s="8">
        <v>84</v>
      </c>
      <c r="G372" s="8">
        <v>77</v>
      </c>
      <c r="H372" s="8">
        <v>71</v>
      </c>
      <c r="I372">
        <f t="shared" si="15"/>
        <v>232</v>
      </c>
      <c r="J372">
        <f t="shared" si="16"/>
        <v>77.333333333333329</v>
      </c>
      <c r="K372" s="7" t="str">
        <f t="shared" si="17"/>
        <v>pass</v>
      </c>
    </row>
    <row r="373" spans="1:11" x14ac:dyDescent="0.25">
      <c r="A373" t="str">
        <f>PROPER(TRIM('raw data'!A373))</f>
        <v>Female</v>
      </c>
      <c r="B373" t="str">
        <f>PROPER(TRIM('raw data'!B373))</f>
        <v>Group C</v>
      </c>
      <c r="C373" s="7" t="str">
        <f>PROPER(TRIM('raw data'!C373))</f>
        <v>Some College</v>
      </c>
      <c r="D373" s="7" t="str">
        <f>PROPER(TRIM('raw data'!D373))</f>
        <v>Free/Reduced</v>
      </c>
      <c r="E373" s="7" t="str">
        <f>PROPER(TRIM('raw data'!E373))</f>
        <v>Completed</v>
      </c>
      <c r="F373" s="8">
        <v>45</v>
      </c>
      <c r="G373" s="8">
        <v>73</v>
      </c>
      <c r="H373" s="8">
        <v>70</v>
      </c>
      <c r="I373">
        <f t="shared" si="15"/>
        <v>188</v>
      </c>
      <c r="J373">
        <f t="shared" si="16"/>
        <v>62.666666666666664</v>
      </c>
      <c r="K373" s="7" t="str">
        <f t="shared" si="17"/>
        <v>pass</v>
      </c>
    </row>
    <row r="374" spans="1:11" x14ac:dyDescent="0.25">
      <c r="A374" t="str">
        <f>PROPER(TRIM('raw data'!A374))</f>
        <v>Male</v>
      </c>
      <c r="B374" t="str">
        <f>PROPER(TRIM('raw data'!B374))</f>
        <v>Group D</v>
      </c>
      <c r="C374" s="7" t="str">
        <f>PROPER(TRIM('raw data'!C374))</f>
        <v>Some High School</v>
      </c>
      <c r="D374" s="7" t="str">
        <f>PROPER(TRIM('raw data'!D374))</f>
        <v>Standard</v>
      </c>
      <c r="E374" s="7" t="str">
        <f>PROPER(TRIM('raw data'!E374))</f>
        <v>None</v>
      </c>
      <c r="F374" s="8">
        <v>74</v>
      </c>
      <c r="G374" s="8">
        <v>74</v>
      </c>
      <c r="H374" s="8">
        <v>72</v>
      </c>
      <c r="I374">
        <f t="shared" si="15"/>
        <v>220</v>
      </c>
      <c r="J374">
        <f t="shared" si="16"/>
        <v>73.333333333333329</v>
      </c>
      <c r="K374" s="7" t="str">
        <f t="shared" si="17"/>
        <v>pass</v>
      </c>
    </row>
    <row r="375" spans="1:11" x14ac:dyDescent="0.25">
      <c r="A375" t="str">
        <f>PROPER(TRIM('raw data'!A375))</f>
        <v>Female</v>
      </c>
      <c r="B375" t="str">
        <f>PROPER(TRIM('raw data'!B375))</f>
        <v>Group D</v>
      </c>
      <c r="C375" s="7" t="str">
        <f>PROPER(TRIM('raw data'!C375))</f>
        <v>Some College</v>
      </c>
      <c r="D375" s="7" t="str">
        <f>PROPER(TRIM('raw data'!D375))</f>
        <v>Standard</v>
      </c>
      <c r="E375" s="7" t="str">
        <f>PROPER(TRIM('raw data'!E375))</f>
        <v>Completed</v>
      </c>
      <c r="F375" s="8">
        <v>82</v>
      </c>
      <c r="G375" s="8">
        <v>97</v>
      </c>
      <c r="H375" s="8">
        <v>96</v>
      </c>
      <c r="I375">
        <f t="shared" si="15"/>
        <v>275</v>
      </c>
      <c r="J375">
        <f t="shared" si="16"/>
        <v>91.666666666666671</v>
      </c>
      <c r="K375" s="7" t="str">
        <f t="shared" si="17"/>
        <v>pass</v>
      </c>
    </row>
    <row r="376" spans="1:11" x14ac:dyDescent="0.25">
      <c r="A376" t="str">
        <f>PROPER(TRIM('raw data'!A376))</f>
        <v>Female</v>
      </c>
      <c r="B376" t="str">
        <f>PROPER(TRIM('raw data'!B376))</f>
        <v>Group D</v>
      </c>
      <c r="C376" s="7" t="str">
        <f>PROPER(TRIM('raw data'!C376))</f>
        <v>Bachelor'S Degree</v>
      </c>
      <c r="D376" s="7" t="str">
        <f>PROPER(TRIM('raw data'!D376))</f>
        <v>Standard</v>
      </c>
      <c r="E376" s="7" t="str">
        <f>PROPER(TRIM('raw data'!E376))</f>
        <v>None</v>
      </c>
      <c r="F376" s="8">
        <v>59</v>
      </c>
      <c r="G376" s="8">
        <v>70</v>
      </c>
      <c r="H376" s="8">
        <v>73</v>
      </c>
      <c r="I376">
        <f t="shared" si="15"/>
        <v>202</v>
      </c>
      <c r="J376">
        <f t="shared" si="16"/>
        <v>67.333333333333329</v>
      </c>
      <c r="K376" s="7" t="str">
        <f t="shared" si="17"/>
        <v>pass</v>
      </c>
    </row>
    <row r="377" spans="1:11" x14ac:dyDescent="0.25">
      <c r="A377" t="str">
        <f>PROPER(TRIM('raw data'!A377))</f>
        <v>Male</v>
      </c>
      <c r="B377" t="str">
        <f>PROPER(TRIM('raw data'!B377))</f>
        <v>Group E</v>
      </c>
      <c r="C377" s="7" t="str">
        <f>PROPER(TRIM('raw data'!C377))</f>
        <v>Associate'S Degree</v>
      </c>
      <c r="D377" s="7" t="str">
        <f>PROPER(TRIM('raw data'!D377))</f>
        <v>Free/Reduced</v>
      </c>
      <c r="E377" s="7" t="str">
        <f>PROPER(TRIM('raw data'!E377))</f>
        <v>None</v>
      </c>
      <c r="F377" s="8">
        <v>46</v>
      </c>
      <c r="G377" s="8">
        <v>43</v>
      </c>
      <c r="H377" s="8">
        <v>41</v>
      </c>
      <c r="I377">
        <f t="shared" si="15"/>
        <v>130</v>
      </c>
      <c r="J377">
        <f t="shared" si="16"/>
        <v>43.333333333333336</v>
      </c>
      <c r="K377" s="7" t="str">
        <f t="shared" si="17"/>
        <v>pass</v>
      </c>
    </row>
    <row r="378" spans="1:11" x14ac:dyDescent="0.25">
      <c r="A378" t="str">
        <f>PROPER(TRIM('raw data'!A378))</f>
        <v>Female</v>
      </c>
      <c r="B378" t="str">
        <f>PROPER(TRIM('raw data'!B378))</f>
        <v>Group D</v>
      </c>
      <c r="C378" s="7" t="str">
        <f>PROPER(TRIM('raw data'!C378))</f>
        <v>Some High School</v>
      </c>
      <c r="D378" s="7" t="str">
        <f>PROPER(TRIM('raw data'!D378))</f>
        <v>Standard</v>
      </c>
      <c r="E378" s="7" t="str">
        <f>PROPER(TRIM('raw data'!E378))</f>
        <v>None</v>
      </c>
      <c r="F378" s="8">
        <v>80</v>
      </c>
      <c r="G378" s="8">
        <v>90</v>
      </c>
      <c r="H378" s="8">
        <v>82</v>
      </c>
      <c r="I378">
        <f t="shared" si="15"/>
        <v>252</v>
      </c>
      <c r="J378">
        <f t="shared" si="16"/>
        <v>84</v>
      </c>
      <c r="K378" s="7" t="str">
        <f t="shared" si="17"/>
        <v>pass</v>
      </c>
    </row>
    <row r="379" spans="1:11" x14ac:dyDescent="0.25">
      <c r="A379" t="str">
        <f>PROPER(TRIM('raw data'!A379))</f>
        <v>Female</v>
      </c>
      <c r="B379" t="str">
        <f>PROPER(TRIM('raw data'!B379))</f>
        <v>Group D</v>
      </c>
      <c r="C379" s="7" t="str">
        <f>PROPER(TRIM('raw data'!C379))</f>
        <v>Master'S Degree</v>
      </c>
      <c r="D379" s="7" t="str">
        <f>PROPER(TRIM('raw data'!D379))</f>
        <v>Free/Reduced</v>
      </c>
      <c r="E379" s="7" t="str">
        <f>PROPER(TRIM('raw data'!E379))</f>
        <v>Completed</v>
      </c>
      <c r="F379" s="8">
        <v>85</v>
      </c>
      <c r="G379" s="8">
        <v>95</v>
      </c>
      <c r="H379" s="8">
        <v>100</v>
      </c>
      <c r="I379">
        <f t="shared" si="15"/>
        <v>280</v>
      </c>
      <c r="J379">
        <f t="shared" si="16"/>
        <v>93.333333333333329</v>
      </c>
      <c r="K379" s="7" t="str">
        <f t="shared" si="17"/>
        <v>pass</v>
      </c>
    </row>
    <row r="380" spans="1:11" x14ac:dyDescent="0.25">
      <c r="A380" t="str">
        <f>PROPER(TRIM('raw data'!A380))</f>
        <v>Female</v>
      </c>
      <c r="B380" t="str">
        <f>PROPER(TRIM('raw data'!B380))</f>
        <v>Group A</v>
      </c>
      <c r="C380" s="7" t="str">
        <f>PROPER(TRIM('raw data'!C380))</f>
        <v>Some High School</v>
      </c>
      <c r="D380" s="7" t="str">
        <f>PROPER(TRIM('raw data'!D380))</f>
        <v>Standard</v>
      </c>
      <c r="E380" s="7" t="str">
        <f>PROPER(TRIM('raw data'!E380))</f>
        <v>None</v>
      </c>
      <c r="F380" s="8">
        <v>71</v>
      </c>
      <c r="G380" s="8">
        <v>83</v>
      </c>
      <c r="H380" s="8">
        <v>77</v>
      </c>
      <c r="I380">
        <f t="shared" si="15"/>
        <v>231</v>
      </c>
      <c r="J380">
        <f t="shared" si="16"/>
        <v>77</v>
      </c>
      <c r="K380" s="7" t="str">
        <f t="shared" si="17"/>
        <v>pass</v>
      </c>
    </row>
    <row r="381" spans="1:11" x14ac:dyDescent="0.25">
      <c r="A381" t="str">
        <f>PROPER(TRIM('raw data'!A381))</f>
        <v>Male</v>
      </c>
      <c r="B381" t="str">
        <f>PROPER(TRIM('raw data'!B381))</f>
        <v>Group A</v>
      </c>
      <c r="C381" s="7" t="str">
        <f>PROPER(TRIM('raw data'!C381))</f>
        <v>Bachelor'S Degree</v>
      </c>
      <c r="D381" s="7" t="str">
        <f>PROPER(TRIM('raw data'!D381))</f>
        <v>Standard</v>
      </c>
      <c r="E381" s="7" t="str">
        <f>PROPER(TRIM('raw data'!E381))</f>
        <v>None</v>
      </c>
      <c r="F381" s="8">
        <v>66</v>
      </c>
      <c r="G381" s="8">
        <v>64</v>
      </c>
      <c r="H381" s="8">
        <v>62</v>
      </c>
      <c r="I381">
        <f t="shared" si="15"/>
        <v>192</v>
      </c>
      <c r="J381">
        <f t="shared" si="16"/>
        <v>64</v>
      </c>
      <c r="K381" s="7" t="str">
        <f t="shared" si="17"/>
        <v>pass</v>
      </c>
    </row>
    <row r="382" spans="1:11" x14ac:dyDescent="0.25">
      <c r="A382" t="str">
        <f>PROPER(TRIM('raw data'!A382))</f>
        <v>Female</v>
      </c>
      <c r="B382" t="str">
        <f>PROPER(TRIM('raw data'!B382))</f>
        <v>Group B</v>
      </c>
      <c r="C382" s="7" t="str">
        <f>PROPER(TRIM('raw data'!C382))</f>
        <v>Associate'S Degree</v>
      </c>
      <c r="D382" s="7" t="str">
        <f>PROPER(TRIM('raw data'!D382))</f>
        <v>Standard</v>
      </c>
      <c r="E382" s="7" t="str">
        <f>PROPER(TRIM('raw data'!E382))</f>
        <v>None</v>
      </c>
      <c r="F382" s="8">
        <v>80</v>
      </c>
      <c r="G382" s="8">
        <v>86</v>
      </c>
      <c r="H382" s="8">
        <v>83</v>
      </c>
      <c r="I382">
        <f t="shared" si="15"/>
        <v>249</v>
      </c>
      <c r="J382">
        <f t="shared" si="16"/>
        <v>83</v>
      </c>
      <c r="K382" s="7" t="str">
        <f t="shared" si="17"/>
        <v>pass</v>
      </c>
    </row>
    <row r="383" spans="1:11" x14ac:dyDescent="0.25">
      <c r="A383" t="str">
        <f>PROPER(TRIM('raw data'!A383))</f>
        <v>Male</v>
      </c>
      <c r="B383" t="str">
        <f>PROPER(TRIM('raw data'!B383))</f>
        <v>Group C</v>
      </c>
      <c r="C383" s="7" t="str">
        <f>PROPER(TRIM('raw data'!C383))</f>
        <v>Associate'S Degree</v>
      </c>
      <c r="D383" s="7" t="str">
        <f>PROPER(TRIM('raw data'!D383))</f>
        <v>Standard</v>
      </c>
      <c r="E383" s="7" t="str">
        <f>PROPER(TRIM('raw data'!E383))</f>
        <v>Completed</v>
      </c>
      <c r="F383" s="8">
        <v>87</v>
      </c>
      <c r="G383" s="8">
        <v>100</v>
      </c>
      <c r="H383" s="8">
        <v>95</v>
      </c>
      <c r="I383">
        <f t="shared" si="15"/>
        <v>282</v>
      </c>
      <c r="J383">
        <f t="shared" si="16"/>
        <v>94</v>
      </c>
      <c r="K383" s="7" t="str">
        <f t="shared" si="17"/>
        <v>pass</v>
      </c>
    </row>
    <row r="384" spans="1:11" x14ac:dyDescent="0.25">
      <c r="A384" t="str">
        <f>PROPER(TRIM('raw data'!A384))</f>
        <v>Male</v>
      </c>
      <c r="B384" t="str">
        <f>PROPER(TRIM('raw data'!B384))</f>
        <v>Group C</v>
      </c>
      <c r="C384" s="7" t="str">
        <f>PROPER(TRIM('raw data'!C384))</f>
        <v>Master'S Degree</v>
      </c>
      <c r="D384" s="7" t="str">
        <f>PROPER(TRIM('raw data'!D384))</f>
        <v>Free/Reduced</v>
      </c>
      <c r="E384" s="7" t="str">
        <f>PROPER(TRIM('raw data'!E384))</f>
        <v>None</v>
      </c>
      <c r="F384" s="8">
        <v>79</v>
      </c>
      <c r="G384" s="8">
        <v>81</v>
      </c>
      <c r="H384" s="8">
        <v>71</v>
      </c>
      <c r="I384">
        <f t="shared" si="15"/>
        <v>231</v>
      </c>
      <c r="J384">
        <f t="shared" si="16"/>
        <v>77</v>
      </c>
      <c r="K384" s="7" t="str">
        <f t="shared" si="17"/>
        <v>pass</v>
      </c>
    </row>
    <row r="385" spans="1:11" x14ac:dyDescent="0.25">
      <c r="A385" t="str">
        <f>PROPER(TRIM('raw data'!A385))</f>
        <v>Female</v>
      </c>
      <c r="B385" t="str">
        <f>PROPER(TRIM('raw data'!B385))</f>
        <v>Group E</v>
      </c>
      <c r="C385" s="7" t="str">
        <f>PROPER(TRIM('raw data'!C385))</f>
        <v>Some High School</v>
      </c>
      <c r="D385" s="7" t="str">
        <f>PROPER(TRIM('raw data'!D385))</f>
        <v>Free/Reduced</v>
      </c>
      <c r="E385" s="7" t="str">
        <f>PROPER(TRIM('raw data'!E385))</f>
        <v>None</v>
      </c>
      <c r="F385" s="8">
        <v>38</v>
      </c>
      <c r="G385" s="8">
        <v>49</v>
      </c>
      <c r="H385" s="8">
        <v>45</v>
      </c>
      <c r="I385">
        <f t="shared" si="15"/>
        <v>132</v>
      </c>
      <c r="J385">
        <f t="shared" si="16"/>
        <v>44</v>
      </c>
      <c r="K385" s="7" t="str">
        <f t="shared" si="17"/>
        <v>pass</v>
      </c>
    </row>
    <row r="386" spans="1:11" x14ac:dyDescent="0.25">
      <c r="A386" t="str">
        <f>PROPER(TRIM('raw data'!A386))</f>
        <v>Female</v>
      </c>
      <c r="B386" t="str">
        <f>PROPER(TRIM('raw data'!B386))</f>
        <v>Group A</v>
      </c>
      <c r="C386" s="7" t="str">
        <f>PROPER(TRIM('raw data'!C386))</f>
        <v>Some High School</v>
      </c>
      <c r="D386" s="7" t="str">
        <f>PROPER(TRIM('raw data'!D386))</f>
        <v>Free/Reduced</v>
      </c>
      <c r="E386" s="7" t="str">
        <f>PROPER(TRIM('raw data'!E386))</f>
        <v>None</v>
      </c>
      <c r="F386" s="8">
        <v>38</v>
      </c>
      <c r="G386" s="8">
        <v>43</v>
      </c>
      <c r="H386" s="8">
        <v>43</v>
      </c>
      <c r="I386">
        <f t="shared" si="15"/>
        <v>124</v>
      </c>
      <c r="J386">
        <f t="shared" si="16"/>
        <v>41.333333333333336</v>
      </c>
      <c r="K386" s="7" t="str">
        <f t="shared" si="17"/>
        <v>pass</v>
      </c>
    </row>
    <row r="387" spans="1:11" x14ac:dyDescent="0.25">
      <c r="A387" t="str">
        <f>PROPER(TRIM('raw data'!A387))</f>
        <v>Female</v>
      </c>
      <c r="B387" t="str">
        <f>PROPER(TRIM('raw data'!B387))</f>
        <v>Group E</v>
      </c>
      <c r="C387" s="7" t="str">
        <f>PROPER(TRIM('raw data'!C387))</f>
        <v>Some College</v>
      </c>
      <c r="D387" s="7" t="str">
        <f>PROPER(TRIM('raw data'!D387))</f>
        <v>Standard</v>
      </c>
      <c r="E387" s="7" t="str">
        <f>PROPER(TRIM('raw data'!E387))</f>
        <v>None</v>
      </c>
      <c r="F387" s="8">
        <v>67</v>
      </c>
      <c r="G387" s="8">
        <v>76</v>
      </c>
      <c r="H387" s="8">
        <v>75</v>
      </c>
      <c r="I387">
        <f t="shared" ref="I387:I450" si="18">F387+G387+H387</f>
        <v>218</v>
      </c>
      <c r="J387">
        <f t="shared" ref="J387:J450" si="19">I387/3</f>
        <v>72.666666666666671</v>
      </c>
      <c r="K387" s="7" t="str">
        <f t="shared" ref="K387:K450" si="20">IF(J387&gt;=40,"pass","fail")</f>
        <v>pass</v>
      </c>
    </row>
    <row r="388" spans="1:11" x14ac:dyDescent="0.25">
      <c r="A388" t="str">
        <f>PROPER(TRIM('raw data'!A388))</f>
        <v>Female</v>
      </c>
      <c r="B388" t="str">
        <f>PROPER(TRIM('raw data'!B388))</f>
        <v>Group E</v>
      </c>
      <c r="C388" s="7" t="str">
        <f>PROPER(TRIM('raw data'!C388))</f>
        <v>Bachelor'S Degree</v>
      </c>
      <c r="D388" s="7" t="str">
        <f>PROPER(TRIM('raw data'!D388))</f>
        <v>Standard</v>
      </c>
      <c r="E388" s="7" t="str">
        <f>PROPER(TRIM('raw data'!E388))</f>
        <v>None</v>
      </c>
      <c r="F388" s="8">
        <v>64</v>
      </c>
      <c r="G388" s="8">
        <v>73</v>
      </c>
      <c r="H388" s="8">
        <v>70</v>
      </c>
      <c r="I388">
        <f t="shared" si="18"/>
        <v>207</v>
      </c>
      <c r="J388">
        <f t="shared" si="19"/>
        <v>69</v>
      </c>
      <c r="K388" s="7" t="str">
        <f t="shared" si="20"/>
        <v>pass</v>
      </c>
    </row>
    <row r="389" spans="1:11" x14ac:dyDescent="0.25">
      <c r="A389" t="str">
        <f>PROPER(TRIM('raw data'!A389))</f>
        <v>Female</v>
      </c>
      <c r="B389" t="str">
        <f>PROPER(TRIM('raw data'!B389))</f>
        <v>Group C</v>
      </c>
      <c r="C389" s="7" t="str">
        <f>PROPER(TRIM('raw data'!C389))</f>
        <v>Associate'S Degree</v>
      </c>
      <c r="D389" s="7" t="str">
        <f>PROPER(TRIM('raw data'!D389))</f>
        <v>Free/Reduced</v>
      </c>
      <c r="E389" s="7" t="str">
        <f>PROPER(TRIM('raw data'!E389))</f>
        <v>None</v>
      </c>
      <c r="F389" s="8">
        <v>57</v>
      </c>
      <c r="G389" s="8">
        <v>78</v>
      </c>
      <c r="H389" s="8">
        <v>67</v>
      </c>
      <c r="I389">
        <f t="shared" si="18"/>
        <v>202</v>
      </c>
      <c r="J389">
        <f t="shared" si="19"/>
        <v>67.333333333333329</v>
      </c>
      <c r="K389" s="7" t="str">
        <f t="shared" si="20"/>
        <v>pass</v>
      </c>
    </row>
    <row r="390" spans="1:11" x14ac:dyDescent="0.25">
      <c r="A390" t="str">
        <f>PROPER(TRIM('raw data'!A390))</f>
        <v>Female</v>
      </c>
      <c r="B390" t="str">
        <f>PROPER(TRIM('raw data'!B390))</f>
        <v>Group D</v>
      </c>
      <c r="C390" s="7" t="str">
        <f>PROPER(TRIM('raw data'!C390))</f>
        <v>High School</v>
      </c>
      <c r="D390" s="7" t="str">
        <f>PROPER(TRIM('raw data'!D390))</f>
        <v>Standard</v>
      </c>
      <c r="E390" s="7" t="str">
        <f>PROPER(TRIM('raw data'!E390))</f>
        <v>None</v>
      </c>
      <c r="F390" s="8">
        <v>62</v>
      </c>
      <c r="G390" s="8">
        <v>64</v>
      </c>
      <c r="H390" s="8">
        <v>64</v>
      </c>
      <c r="I390">
        <f t="shared" si="18"/>
        <v>190</v>
      </c>
      <c r="J390">
        <f t="shared" si="19"/>
        <v>63.333333333333336</v>
      </c>
      <c r="K390" s="7" t="str">
        <f t="shared" si="20"/>
        <v>pass</v>
      </c>
    </row>
    <row r="391" spans="1:11" x14ac:dyDescent="0.25">
      <c r="A391" t="str">
        <f>PROPER(TRIM('raw data'!A391))</f>
        <v>Male</v>
      </c>
      <c r="B391" t="str">
        <f>PROPER(TRIM('raw data'!B391))</f>
        <v>Group D</v>
      </c>
      <c r="C391" s="7" t="str">
        <f>PROPER(TRIM('raw data'!C391))</f>
        <v>Master'S Degree</v>
      </c>
      <c r="D391" s="7" t="str">
        <f>PROPER(TRIM('raw data'!D391))</f>
        <v>Standard</v>
      </c>
      <c r="E391" s="7" t="str">
        <f>PROPER(TRIM('raw data'!E391))</f>
        <v>None</v>
      </c>
      <c r="F391" s="8">
        <v>73</v>
      </c>
      <c r="G391" s="8">
        <v>70</v>
      </c>
      <c r="H391" s="8">
        <v>75</v>
      </c>
      <c r="I391">
        <f t="shared" si="18"/>
        <v>218</v>
      </c>
      <c r="J391">
        <f t="shared" si="19"/>
        <v>72.666666666666671</v>
      </c>
      <c r="K391" s="7" t="str">
        <f t="shared" si="20"/>
        <v>pass</v>
      </c>
    </row>
    <row r="392" spans="1:11" x14ac:dyDescent="0.25">
      <c r="A392" t="str">
        <f>PROPER(TRIM('raw data'!A392))</f>
        <v>Male</v>
      </c>
      <c r="B392" t="str">
        <f>PROPER(TRIM('raw data'!B392))</f>
        <v>Group E</v>
      </c>
      <c r="C392" s="7" t="str">
        <f>PROPER(TRIM('raw data'!C392))</f>
        <v>Some High School</v>
      </c>
      <c r="D392" s="7" t="str">
        <f>PROPER(TRIM('raw data'!D392))</f>
        <v>Free/Reduced</v>
      </c>
      <c r="E392" s="7" t="str">
        <f>PROPER(TRIM('raw data'!E392))</f>
        <v>Completed</v>
      </c>
      <c r="F392" s="8">
        <v>73</v>
      </c>
      <c r="G392" s="8">
        <v>67</v>
      </c>
      <c r="H392" s="8">
        <v>59</v>
      </c>
      <c r="I392">
        <f t="shared" si="18"/>
        <v>199</v>
      </c>
      <c r="J392">
        <f t="shared" si="19"/>
        <v>66.333333333333329</v>
      </c>
      <c r="K392" s="7" t="str">
        <f t="shared" si="20"/>
        <v>pass</v>
      </c>
    </row>
    <row r="393" spans="1:11" x14ac:dyDescent="0.25">
      <c r="A393" t="str">
        <f>PROPER(TRIM('raw data'!A393))</f>
        <v>Female</v>
      </c>
      <c r="B393" t="str">
        <f>PROPER(TRIM('raw data'!B393))</f>
        <v>Group D</v>
      </c>
      <c r="C393" s="7" t="str">
        <f>PROPER(TRIM('raw data'!C393))</f>
        <v>Some College</v>
      </c>
      <c r="D393" s="7" t="str">
        <f>PROPER(TRIM('raw data'!D393))</f>
        <v>Standard</v>
      </c>
      <c r="E393" s="7" t="str">
        <f>PROPER(TRIM('raw data'!E393))</f>
        <v>None</v>
      </c>
      <c r="F393" s="8">
        <v>77</v>
      </c>
      <c r="G393" s="8">
        <v>68</v>
      </c>
      <c r="H393" s="8">
        <v>77</v>
      </c>
      <c r="I393">
        <f t="shared" si="18"/>
        <v>222</v>
      </c>
      <c r="J393">
        <f t="shared" si="19"/>
        <v>74</v>
      </c>
      <c r="K393" s="7" t="str">
        <f t="shared" si="20"/>
        <v>pass</v>
      </c>
    </row>
    <row r="394" spans="1:11" x14ac:dyDescent="0.25">
      <c r="A394" t="str">
        <f>PROPER(TRIM('raw data'!A394))</f>
        <v>Male</v>
      </c>
      <c r="B394" t="str">
        <f>PROPER(TRIM('raw data'!B394))</f>
        <v>Group E</v>
      </c>
      <c r="C394" s="7" t="str">
        <f>PROPER(TRIM('raw data'!C394))</f>
        <v>Some College</v>
      </c>
      <c r="D394" s="7" t="str">
        <f>PROPER(TRIM('raw data'!D394))</f>
        <v>Standard</v>
      </c>
      <c r="E394" s="7" t="str">
        <f>PROPER(TRIM('raw data'!E394))</f>
        <v>None</v>
      </c>
      <c r="F394" s="8">
        <v>76</v>
      </c>
      <c r="G394" s="8">
        <v>67</v>
      </c>
      <c r="H394" s="8">
        <v>67</v>
      </c>
      <c r="I394">
        <f t="shared" si="18"/>
        <v>210</v>
      </c>
      <c r="J394">
        <f t="shared" si="19"/>
        <v>70</v>
      </c>
      <c r="K394" s="7" t="str">
        <f t="shared" si="20"/>
        <v>pass</v>
      </c>
    </row>
    <row r="395" spans="1:11" x14ac:dyDescent="0.25">
      <c r="A395" t="str">
        <f>PROPER(TRIM('raw data'!A395))</f>
        <v>Male</v>
      </c>
      <c r="B395" t="str">
        <f>PROPER(TRIM('raw data'!B395))</f>
        <v>Group C</v>
      </c>
      <c r="C395" s="7" t="str">
        <f>PROPER(TRIM('raw data'!C395))</f>
        <v>Associate'S Degree</v>
      </c>
      <c r="D395" s="7" t="str">
        <f>PROPER(TRIM('raw data'!D395))</f>
        <v>Standard</v>
      </c>
      <c r="E395" s="7" t="str">
        <f>PROPER(TRIM('raw data'!E395))</f>
        <v>Completed</v>
      </c>
      <c r="F395" s="8">
        <v>57</v>
      </c>
      <c r="G395" s="8">
        <v>54</v>
      </c>
      <c r="H395" s="8">
        <v>56</v>
      </c>
      <c r="I395">
        <f t="shared" si="18"/>
        <v>167</v>
      </c>
      <c r="J395">
        <f t="shared" si="19"/>
        <v>55.666666666666664</v>
      </c>
      <c r="K395" s="7" t="str">
        <f t="shared" si="20"/>
        <v>pass</v>
      </c>
    </row>
    <row r="396" spans="1:11" x14ac:dyDescent="0.25">
      <c r="A396" t="str">
        <f>PROPER(TRIM('raw data'!A396))</f>
        <v>Female</v>
      </c>
      <c r="B396" t="str">
        <f>PROPER(TRIM('raw data'!B396))</f>
        <v>Group C</v>
      </c>
      <c r="C396" s="7" t="str">
        <f>PROPER(TRIM('raw data'!C396))</f>
        <v>Some High School</v>
      </c>
      <c r="D396" s="7" t="str">
        <f>PROPER(TRIM('raw data'!D396))</f>
        <v>Standard</v>
      </c>
      <c r="E396" s="7" t="str">
        <f>PROPER(TRIM('raw data'!E396))</f>
        <v>Completed</v>
      </c>
      <c r="F396" s="8">
        <v>65</v>
      </c>
      <c r="G396" s="8">
        <v>74</v>
      </c>
      <c r="H396" s="8">
        <v>77</v>
      </c>
      <c r="I396">
        <f t="shared" si="18"/>
        <v>216</v>
      </c>
      <c r="J396">
        <f t="shared" si="19"/>
        <v>72</v>
      </c>
      <c r="K396" s="7" t="str">
        <f t="shared" si="20"/>
        <v>pass</v>
      </c>
    </row>
    <row r="397" spans="1:11" x14ac:dyDescent="0.25">
      <c r="A397" t="str">
        <f>PROPER(TRIM('raw data'!A397))</f>
        <v>Male</v>
      </c>
      <c r="B397" t="str">
        <f>PROPER(TRIM('raw data'!B397))</f>
        <v>Group A</v>
      </c>
      <c r="C397" s="7" t="str">
        <f>PROPER(TRIM('raw data'!C397))</f>
        <v>High School</v>
      </c>
      <c r="D397" s="7" t="str">
        <f>PROPER(TRIM('raw data'!D397))</f>
        <v>Free/Reduced</v>
      </c>
      <c r="E397" s="7" t="str">
        <f>PROPER(TRIM('raw data'!E397))</f>
        <v>None</v>
      </c>
      <c r="F397" s="8">
        <v>48</v>
      </c>
      <c r="G397" s="8">
        <v>45</v>
      </c>
      <c r="H397" s="8">
        <v>41</v>
      </c>
      <c r="I397">
        <f t="shared" si="18"/>
        <v>134</v>
      </c>
      <c r="J397">
        <f t="shared" si="19"/>
        <v>44.666666666666664</v>
      </c>
      <c r="K397" s="7" t="str">
        <f t="shared" si="20"/>
        <v>pass</v>
      </c>
    </row>
    <row r="398" spans="1:11" x14ac:dyDescent="0.25">
      <c r="A398" t="str">
        <f>PROPER(TRIM('raw data'!A398))</f>
        <v>Female</v>
      </c>
      <c r="B398" t="str">
        <f>PROPER(TRIM('raw data'!B398))</f>
        <v>Group B</v>
      </c>
      <c r="C398" s="7" t="str">
        <f>PROPER(TRIM('raw data'!C398))</f>
        <v>High School</v>
      </c>
      <c r="D398" s="7" t="str">
        <f>PROPER(TRIM('raw data'!D398))</f>
        <v>Free/Reduced</v>
      </c>
      <c r="E398" s="7" t="str">
        <f>PROPER(TRIM('raw data'!E398))</f>
        <v>None</v>
      </c>
      <c r="F398" s="8">
        <v>50</v>
      </c>
      <c r="G398" s="8">
        <v>67</v>
      </c>
      <c r="H398" s="8">
        <v>63</v>
      </c>
      <c r="I398">
        <f t="shared" si="18"/>
        <v>180</v>
      </c>
      <c r="J398">
        <f t="shared" si="19"/>
        <v>60</v>
      </c>
      <c r="K398" s="7" t="str">
        <f t="shared" si="20"/>
        <v>pass</v>
      </c>
    </row>
    <row r="399" spans="1:11" x14ac:dyDescent="0.25">
      <c r="A399" t="str">
        <f>PROPER(TRIM('raw data'!A399))</f>
        <v>Female</v>
      </c>
      <c r="B399" t="str">
        <f>PROPER(TRIM('raw data'!B399))</f>
        <v>Group C</v>
      </c>
      <c r="C399" s="7" t="str">
        <f>PROPER(TRIM('raw data'!C399))</f>
        <v>Associate'S Degree</v>
      </c>
      <c r="D399" s="7" t="str">
        <f>PROPER(TRIM('raw data'!D399))</f>
        <v>Standard</v>
      </c>
      <c r="E399" s="7" t="str">
        <f>PROPER(TRIM('raw data'!E399))</f>
        <v>None</v>
      </c>
      <c r="F399" s="8">
        <v>85</v>
      </c>
      <c r="G399" s="8">
        <v>89</v>
      </c>
      <c r="H399" s="8">
        <v>95</v>
      </c>
      <c r="I399">
        <f t="shared" si="18"/>
        <v>269</v>
      </c>
      <c r="J399">
        <f t="shared" si="19"/>
        <v>89.666666666666671</v>
      </c>
      <c r="K399" s="7" t="str">
        <f t="shared" si="20"/>
        <v>pass</v>
      </c>
    </row>
    <row r="400" spans="1:11" x14ac:dyDescent="0.25">
      <c r="A400" t="str">
        <f>PROPER(TRIM('raw data'!A400))</f>
        <v>Male</v>
      </c>
      <c r="B400" t="str">
        <f>PROPER(TRIM('raw data'!B400))</f>
        <v>Group B</v>
      </c>
      <c r="C400" s="7" t="str">
        <f>PROPER(TRIM('raw data'!C400))</f>
        <v>Some High School</v>
      </c>
      <c r="D400" s="7" t="str">
        <f>PROPER(TRIM('raw data'!D400))</f>
        <v>Standard</v>
      </c>
      <c r="E400" s="7" t="str">
        <f>PROPER(TRIM('raw data'!E400))</f>
        <v>None</v>
      </c>
      <c r="F400" s="8">
        <v>74</v>
      </c>
      <c r="G400" s="8">
        <v>63</v>
      </c>
      <c r="H400" s="8">
        <v>57</v>
      </c>
      <c r="I400">
        <f t="shared" si="18"/>
        <v>194</v>
      </c>
      <c r="J400">
        <f t="shared" si="19"/>
        <v>64.666666666666671</v>
      </c>
      <c r="K400" s="7" t="str">
        <f t="shared" si="20"/>
        <v>pass</v>
      </c>
    </row>
    <row r="401" spans="1:11" x14ac:dyDescent="0.25">
      <c r="A401" t="str">
        <f>PROPER(TRIM('raw data'!A401))</f>
        <v>Male</v>
      </c>
      <c r="B401" t="str">
        <f>PROPER(TRIM('raw data'!B401))</f>
        <v>Group D</v>
      </c>
      <c r="C401" s="7" t="str">
        <f>PROPER(TRIM('raw data'!C401))</f>
        <v>Some High School</v>
      </c>
      <c r="D401" s="7" t="str">
        <f>PROPER(TRIM('raw data'!D401))</f>
        <v>Standard</v>
      </c>
      <c r="E401" s="7" t="str">
        <f>PROPER(TRIM('raw data'!E401))</f>
        <v>None</v>
      </c>
      <c r="F401" s="8">
        <v>60</v>
      </c>
      <c r="G401" s="8">
        <v>59</v>
      </c>
      <c r="H401" s="8">
        <v>54</v>
      </c>
      <c r="I401">
        <f t="shared" si="18"/>
        <v>173</v>
      </c>
      <c r="J401">
        <f t="shared" si="19"/>
        <v>57.666666666666664</v>
      </c>
      <c r="K401" s="7" t="str">
        <f t="shared" si="20"/>
        <v>pass</v>
      </c>
    </row>
    <row r="402" spans="1:11" x14ac:dyDescent="0.25">
      <c r="A402" t="str">
        <f>PROPER(TRIM('raw data'!A402))</f>
        <v>Female</v>
      </c>
      <c r="B402" t="str">
        <f>PROPER(TRIM('raw data'!B402))</f>
        <v>Group C</v>
      </c>
      <c r="C402" s="7" t="str">
        <f>PROPER(TRIM('raw data'!C402))</f>
        <v>Some High School</v>
      </c>
      <c r="D402" s="7" t="str">
        <f>PROPER(TRIM('raw data'!D402))</f>
        <v>Standard</v>
      </c>
      <c r="E402" s="7" t="str">
        <f>PROPER(TRIM('raw data'!E402))</f>
        <v>Completed</v>
      </c>
      <c r="F402" s="8">
        <v>59</v>
      </c>
      <c r="G402" s="8">
        <v>54</v>
      </c>
      <c r="H402" s="8">
        <v>67</v>
      </c>
      <c r="I402">
        <f t="shared" si="18"/>
        <v>180</v>
      </c>
      <c r="J402">
        <f t="shared" si="19"/>
        <v>60</v>
      </c>
      <c r="K402" s="7" t="str">
        <f t="shared" si="20"/>
        <v>pass</v>
      </c>
    </row>
    <row r="403" spans="1:11" x14ac:dyDescent="0.25">
      <c r="A403" t="str">
        <f>PROPER(TRIM('raw data'!A403))</f>
        <v>Male</v>
      </c>
      <c r="B403" t="str">
        <f>PROPER(TRIM('raw data'!B403))</f>
        <v>Group A</v>
      </c>
      <c r="C403" s="7" t="str">
        <f>PROPER(TRIM('raw data'!C403))</f>
        <v>Some College</v>
      </c>
      <c r="D403" s="7" t="str">
        <f>PROPER(TRIM('raw data'!D403))</f>
        <v>Standard</v>
      </c>
      <c r="E403" s="7" t="str">
        <f>PROPER(TRIM('raw data'!E403))</f>
        <v>None</v>
      </c>
      <c r="F403" s="8">
        <v>53</v>
      </c>
      <c r="G403" s="8">
        <v>43</v>
      </c>
      <c r="H403" s="8">
        <v>43</v>
      </c>
      <c r="I403">
        <f t="shared" si="18"/>
        <v>139</v>
      </c>
      <c r="J403">
        <f t="shared" si="19"/>
        <v>46.333333333333336</v>
      </c>
      <c r="K403" s="7" t="str">
        <f t="shared" si="20"/>
        <v>pass</v>
      </c>
    </row>
    <row r="404" spans="1:11" x14ac:dyDescent="0.25">
      <c r="A404" t="str">
        <f>PROPER(TRIM('raw data'!A404))</f>
        <v>Female</v>
      </c>
      <c r="B404" t="str">
        <f>PROPER(TRIM('raw data'!B404))</f>
        <v>Group A</v>
      </c>
      <c r="C404" s="7" t="str">
        <f>PROPER(TRIM('raw data'!C404))</f>
        <v>Some College</v>
      </c>
      <c r="D404" s="7" t="str">
        <f>PROPER(TRIM('raw data'!D404))</f>
        <v>Free/Reduced</v>
      </c>
      <c r="E404" s="7" t="str">
        <f>PROPER(TRIM('raw data'!E404))</f>
        <v>None</v>
      </c>
      <c r="F404" s="8">
        <v>49</v>
      </c>
      <c r="G404" s="8">
        <v>65</v>
      </c>
      <c r="H404" s="8">
        <v>55</v>
      </c>
      <c r="I404">
        <f t="shared" si="18"/>
        <v>169</v>
      </c>
      <c r="J404">
        <f t="shared" si="19"/>
        <v>56.333333333333336</v>
      </c>
      <c r="K404" s="7" t="str">
        <f t="shared" si="20"/>
        <v>pass</v>
      </c>
    </row>
    <row r="405" spans="1:11" x14ac:dyDescent="0.25">
      <c r="A405" t="str">
        <f>PROPER(TRIM('raw data'!A405))</f>
        <v>Female</v>
      </c>
      <c r="B405" t="str">
        <f>PROPER(TRIM('raw data'!B405))</f>
        <v>Group D</v>
      </c>
      <c r="C405" s="7" t="str">
        <f>PROPER(TRIM('raw data'!C405))</f>
        <v>High School</v>
      </c>
      <c r="D405" s="7" t="str">
        <f>PROPER(TRIM('raw data'!D405))</f>
        <v>Standard</v>
      </c>
      <c r="E405" s="7" t="str">
        <f>PROPER(TRIM('raw data'!E405))</f>
        <v>Completed</v>
      </c>
      <c r="F405" s="8">
        <v>88</v>
      </c>
      <c r="G405" s="8">
        <v>99</v>
      </c>
      <c r="H405" s="8">
        <v>100</v>
      </c>
      <c r="I405">
        <f t="shared" si="18"/>
        <v>287</v>
      </c>
      <c r="J405">
        <f t="shared" si="19"/>
        <v>95.666666666666671</v>
      </c>
      <c r="K405" s="7" t="str">
        <f t="shared" si="20"/>
        <v>pass</v>
      </c>
    </row>
    <row r="406" spans="1:11" x14ac:dyDescent="0.25">
      <c r="A406" t="str">
        <f>PROPER(TRIM('raw data'!A406))</f>
        <v>Female</v>
      </c>
      <c r="B406" t="str">
        <f>PROPER(TRIM('raw data'!B406))</f>
        <v>Group C</v>
      </c>
      <c r="C406" s="7" t="str">
        <f>PROPER(TRIM('raw data'!C406))</f>
        <v>High School</v>
      </c>
      <c r="D406" s="7" t="str">
        <f>PROPER(TRIM('raw data'!D406))</f>
        <v>Standard</v>
      </c>
      <c r="E406" s="7" t="str">
        <f>PROPER(TRIM('raw data'!E406))</f>
        <v>None</v>
      </c>
      <c r="F406" s="8">
        <v>54</v>
      </c>
      <c r="G406" s="8">
        <v>59</v>
      </c>
      <c r="H406" s="8">
        <v>62</v>
      </c>
      <c r="I406">
        <f t="shared" si="18"/>
        <v>175</v>
      </c>
      <c r="J406">
        <f t="shared" si="19"/>
        <v>58.333333333333336</v>
      </c>
      <c r="K406" s="7" t="str">
        <f t="shared" si="20"/>
        <v>pass</v>
      </c>
    </row>
    <row r="407" spans="1:11" x14ac:dyDescent="0.25">
      <c r="A407" t="str">
        <f>PROPER(TRIM('raw data'!A407))</f>
        <v>Female</v>
      </c>
      <c r="B407" t="str">
        <f>PROPER(TRIM('raw data'!B407))</f>
        <v>Group C</v>
      </c>
      <c r="C407" s="7" t="str">
        <f>PROPER(TRIM('raw data'!C407))</f>
        <v>Some High School</v>
      </c>
      <c r="D407" s="7" t="str">
        <f>PROPER(TRIM('raw data'!D407))</f>
        <v>Standard</v>
      </c>
      <c r="E407" s="7" t="str">
        <f>PROPER(TRIM('raw data'!E407))</f>
        <v>None</v>
      </c>
      <c r="F407" s="8">
        <v>63</v>
      </c>
      <c r="G407" s="8">
        <v>73</v>
      </c>
      <c r="H407" s="8">
        <v>68</v>
      </c>
      <c r="I407">
        <f t="shared" si="18"/>
        <v>204</v>
      </c>
      <c r="J407">
        <f t="shared" si="19"/>
        <v>68</v>
      </c>
      <c r="K407" s="7" t="str">
        <f t="shared" si="20"/>
        <v>pass</v>
      </c>
    </row>
    <row r="408" spans="1:11" x14ac:dyDescent="0.25">
      <c r="A408" t="str">
        <f>PROPER(TRIM('raw data'!A408))</f>
        <v>Male</v>
      </c>
      <c r="B408" t="str">
        <f>PROPER(TRIM('raw data'!B408))</f>
        <v>Group B</v>
      </c>
      <c r="C408" s="7" t="str">
        <f>PROPER(TRIM('raw data'!C408))</f>
        <v>Associate'S Degree</v>
      </c>
      <c r="D408" s="7" t="str">
        <f>PROPER(TRIM('raw data'!D408))</f>
        <v>Standard</v>
      </c>
      <c r="E408" s="7" t="str">
        <f>PROPER(TRIM('raw data'!E408))</f>
        <v>Completed</v>
      </c>
      <c r="F408" s="8">
        <v>65</v>
      </c>
      <c r="G408" s="8">
        <v>65</v>
      </c>
      <c r="H408" s="8">
        <v>63</v>
      </c>
      <c r="I408">
        <f t="shared" si="18"/>
        <v>193</v>
      </c>
      <c r="J408">
        <f t="shared" si="19"/>
        <v>64.333333333333329</v>
      </c>
      <c r="K408" s="7" t="str">
        <f t="shared" si="20"/>
        <v>pass</v>
      </c>
    </row>
    <row r="409" spans="1:11" x14ac:dyDescent="0.25">
      <c r="A409" t="str">
        <f>PROPER(TRIM('raw data'!A409))</f>
        <v>Female</v>
      </c>
      <c r="B409" t="str">
        <f>PROPER(TRIM('raw data'!B409))</f>
        <v>Group B</v>
      </c>
      <c r="C409" s="7" t="str">
        <f>PROPER(TRIM('raw data'!C409))</f>
        <v>Associate'S Degree</v>
      </c>
      <c r="D409" s="7" t="str">
        <f>PROPER(TRIM('raw data'!D409))</f>
        <v>Standard</v>
      </c>
      <c r="E409" s="7" t="str">
        <f>PROPER(TRIM('raw data'!E409))</f>
        <v>None</v>
      </c>
      <c r="F409" s="8">
        <v>82</v>
      </c>
      <c r="G409" s="8">
        <v>80</v>
      </c>
      <c r="H409" s="8">
        <v>77</v>
      </c>
      <c r="I409">
        <f t="shared" si="18"/>
        <v>239</v>
      </c>
      <c r="J409">
        <f t="shared" si="19"/>
        <v>79.666666666666671</v>
      </c>
      <c r="K409" s="7" t="str">
        <f t="shared" si="20"/>
        <v>pass</v>
      </c>
    </row>
    <row r="410" spans="1:11" x14ac:dyDescent="0.25">
      <c r="A410" t="str">
        <f>PROPER(TRIM('raw data'!A410))</f>
        <v>Female</v>
      </c>
      <c r="B410" t="str">
        <f>PROPER(TRIM('raw data'!B410))</f>
        <v>Group D</v>
      </c>
      <c r="C410" s="7" t="str">
        <f>PROPER(TRIM('raw data'!C410))</f>
        <v>High School</v>
      </c>
      <c r="D410" s="7" t="str">
        <f>PROPER(TRIM('raw data'!D410))</f>
        <v>Free/Reduced</v>
      </c>
      <c r="E410" s="7" t="str">
        <f>PROPER(TRIM('raw data'!E410))</f>
        <v>Completed</v>
      </c>
      <c r="F410" s="8">
        <v>52</v>
      </c>
      <c r="G410" s="8">
        <v>57</v>
      </c>
      <c r="H410" s="8">
        <v>56</v>
      </c>
      <c r="I410">
        <f t="shared" si="18"/>
        <v>165</v>
      </c>
      <c r="J410">
        <f t="shared" si="19"/>
        <v>55</v>
      </c>
      <c r="K410" s="7" t="str">
        <f t="shared" si="20"/>
        <v>pass</v>
      </c>
    </row>
    <row r="411" spans="1:11" x14ac:dyDescent="0.25">
      <c r="A411" t="str">
        <f>PROPER(TRIM('raw data'!A411))</f>
        <v>Male</v>
      </c>
      <c r="B411" t="str">
        <f>PROPER(TRIM('raw data'!B411))</f>
        <v>Group D</v>
      </c>
      <c r="C411" s="7" t="str">
        <f>PROPER(TRIM('raw data'!C411))</f>
        <v>Associate'S Degree</v>
      </c>
      <c r="D411" s="7" t="str">
        <f>PROPER(TRIM('raw data'!D411))</f>
        <v>Standard</v>
      </c>
      <c r="E411" s="7" t="str">
        <f>PROPER(TRIM('raw data'!E411))</f>
        <v>Completed</v>
      </c>
      <c r="F411" s="8">
        <v>87</v>
      </c>
      <c r="G411" s="8">
        <v>84</v>
      </c>
      <c r="H411" s="8">
        <v>85</v>
      </c>
      <c r="I411">
        <f t="shared" si="18"/>
        <v>256</v>
      </c>
      <c r="J411">
        <f t="shared" si="19"/>
        <v>85.333333333333329</v>
      </c>
      <c r="K411" s="7" t="str">
        <f t="shared" si="20"/>
        <v>pass</v>
      </c>
    </row>
    <row r="412" spans="1:11" x14ac:dyDescent="0.25">
      <c r="A412" t="str">
        <f>PROPER(TRIM('raw data'!A412))</f>
        <v>Female</v>
      </c>
      <c r="B412" t="str">
        <f>PROPER(TRIM('raw data'!B412))</f>
        <v>Group D</v>
      </c>
      <c r="C412" s="7" t="str">
        <f>PROPER(TRIM('raw data'!C412))</f>
        <v>Master'S Degree</v>
      </c>
      <c r="D412" s="7" t="str">
        <f>PROPER(TRIM('raw data'!D412))</f>
        <v>Standard</v>
      </c>
      <c r="E412" s="7" t="str">
        <f>PROPER(TRIM('raw data'!E412))</f>
        <v>Completed</v>
      </c>
      <c r="F412" s="8">
        <v>70</v>
      </c>
      <c r="G412" s="8">
        <v>71</v>
      </c>
      <c r="H412" s="8">
        <v>74</v>
      </c>
      <c r="I412">
        <f t="shared" si="18"/>
        <v>215</v>
      </c>
      <c r="J412">
        <f t="shared" si="19"/>
        <v>71.666666666666671</v>
      </c>
      <c r="K412" s="7" t="str">
        <f t="shared" si="20"/>
        <v>pass</v>
      </c>
    </row>
    <row r="413" spans="1:11" x14ac:dyDescent="0.25">
      <c r="A413" t="str">
        <f>PROPER(TRIM('raw data'!A413))</f>
        <v>Male</v>
      </c>
      <c r="B413" t="str">
        <f>PROPER(TRIM('raw data'!B413))</f>
        <v>Group E</v>
      </c>
      <c r="C413" s="7" t="str">
        <f>PROPER(TRIM('raw data'!C413))</f>
        <v>Some College</v>
      </c>
      <c r="D413" s="7" t="str">
        <f>PROPER(TRIM('raw data'!D413))</f>
        <v>Standard</v>
      </c>
      <c r="E413" s="7" t="str">
        <f>PROPER(TRIM('raw data'!E413))</f>
        <v>Completed</v>
      </c>
      <c r="F413" s="8">
        <v>84</v>
      </c>
      <c r="G413" s="8">
        <v>83</v>
      </c>
      <c r="H413" s="8">
        <v>78</v>
      </c>
      <c r="I413">
        <f t="shared" si="18"/>
        <v>245</v>
      </c>
      <c r="J413">
        <f t="shared" si="19"/>
        <v>81.666666666666671</v>
      </c>
      <c r="K413" s="7" t="str">
        <f t="shared" si="20"/>
        <v>pass</v>
      </c>
    </row>
    <row r="414" spans="1:11" x14ac:dyDescent="0.25">
      <c r="A414" t="str">
        <f>PROPER(TRIM('raw data'!A414))</f>
        <v>Male</v>
      </c>
      <c r="B414" t="str">
        <f>PROPER(TRIM('raw data'!B414))</f>
        <v>Group D</v>
      </c>
      <c r="C414" s="7" t="str">
        <f>PROPER(TRIM('raw data'!C414))</f>
        <v>Associate'S Degree</v>
      </c>
      <c r="D414" s="7" t="str">
        <f>PROPER(TRIM('raw data'!D414))</f>
        <v>Standard</v>
      </c>
      <c r="E414" s="7" t="str">
        <f>PROPER(TRIM('raw data'!E414))</f>
        <v>None</v>
      </c>
      <c r="F414" s="8">
        <v>71</v>
      </c>
      <c r="G414" s="8">
        <v>66</v>
      </c>
      <c r="H414" s="8">
        <v>60</v>
      </c>
      <c r="I414">
        <f t="shared" si="18"/>
        <v>197</v>
      </c>
      <c r="J414">
        <f t="shared" si="19"/>
        <v>65.666666666666671</v>
      </c>
      <c r="K414" s="7" t="str">
        <f t="shared" si="20"/>
        <v>pass</v>
      </c>
    </row>
    <row r="415" spans="1:11" x14ac:dyDescent="0.25">
      <c r="A415" t="str">
        <f>PROPER(TRIM('raw data'!A415))</f>
        <v>Male</v>
      </c>
      <c r="B415" t="str">
        <f>PROPER(TRIM('raw data'!B415))</f>
        <v>Group B</v>
      </c>
      <c r="C415" s="7" t="str">
        <f>PROPER(TRIM('raw data'!C415))</f>
        <v>Some High School</v>
      </c>
      <c r="D415" s="7" t="str">
        <f>PROPER(TRIM('raw data'!D415))</f>
        <v>Standard</v>
      </c>
      <c r="E415" s="7" t="str">
        <f>PROPER(TRIM('raw data'!E415))</f>
        <v>Completed</v>
      </c>
      <c r="F415" s="8">
        <v>63</v>
      </c>
      <c r="G415" s="8">
        <v>67</v>
      </c>
      <c r="H415" s="8">
        <v>67</v>
      </c>
      <c r="I415">
        <f t="shared" si="18"/>
        <v>197</v>
      </c>
      <c r="J415">
        <f t="shared" si="19"/>
        <v>65.666666666666671</v>
      </c>
      <c r="K415" s="7" t="str">
        <f t="shared" si="20"/>
        <v>pass</v>
      </c>
    </row>
    <row r="416" spans="1:11" x14ac:dyDescent="0.25">
      <c r="A416" t="str">
        <f>PROPER(TRIM('raw data'!A416))</f>
        <v>Female</v>
      </c>
      <c r="B416" t="str">
        <f>PROPER(TRIM('raw data'!B416))</f>
        <v>Group C</v>
      </c>
      <c r="C416" s="7" t="str">
        <f>PROPER(TRIM('raw data'!C416))</f>
        <v>Bachelor'S Degree</v>
      </c>
      <c r="D416" s="7" t="str">
        <f>PROPER(TRIM('raw data'!D416))</f>
        <v>Free/Reduced</v>
      </c>
      <c r="E416" s="7" t="str">
        <f>PROPER(TRIM('raw data'!E416))</f>
        <v>Completed</v>
      </c>
      <c r="F416" s="8">
        <v>51</v>
      </c>
      <c r="G416" s="8">
        <v>72</v>
      </c>
      <c r="H416" s="8">
        <v>79</v>
      </c>
      <c r="I416">
        <f t="shared" si="18"/>
        <v>202</v>
      </c>
      <c r="J416">
        <f t="shared" si="19"/>
        <v>67.333333333333329</v>
      </c>
      <c r="K416" s="7" t="str">
        <f t="shared" si="20"/>
        <v>pass</v>
      </c>
    </row>
    <row r="417" spans="1:11" x14ac:dyDescent="0.25">
      <c r="A417" t="str">
        <f>PROPER(TRIM('raw data'!A417))</f>
        <v>Male</v>
      </c>
      <c r="B417" t="str">
        <f>PROPER(TRIM('raw data'!B417))</f>
        <v>Group E</v>
      </c>
      <c r="C417" s="7" t="str">
        <f>PROPER(TRIM('raw data'!C417))</f>
        <v>High School</v>
      </c>
      <c r="D417" s="7" t="str">
        <f>PROPER(TRIM('raw data'!D417))</f>
        <v>Standard</v>
      </c>
      <c r="E417" s="7" t="str">
        <f>PROPER(TRIM('raw data'!E417))</f>
        <v>None</v>
      </c>
      <c r="F417" s="8">
        <v>84</v>
      </c>
      <c r="G417" s="8">
        <v>73</v>
      </c>
      <c r="H417" s="8">
        <v>69</v>
      </c>
      <c r="I417">
        <f t="shared" si="18"/>
        <v>226</v>
      </c>
      <c r="J417">
        <f t="shared" si="19"/>
        <v>75.333333333333329</v>
      </c>
      <c r="K417" s="7" t="str">
        <f t="shared" si="20"/>
        <v>pass</v>
      </c>
    </row>
    <row r="418" spans="1:11" x14ac:dyDescent="0.25">
      <c r="A418" t="str">
        <f>PROPER(TRIM('raw data'!A418))</f>
        <v>Male</v>
      </c>
      <c r="B418" t="str">
        <f>PROPER(TRIM('raw data'!B418))</f>
        <v>Group C</v>
      </c>
      <c r="C418" s="7" t="str">
        <f>PROPER(TRIM('raw data'!C418))</f>
        <v>Bachelor'S Degree</v>
      </c>
      <c r="D418" s="7" t="str">
        <f>PROPER(TRIM('raw data'!D418))</f>
        <v>Standard</v>
      </c>
      <c r="E418" s="7" t="str">
        <f>PROPER(TRIM('raw data'!E418))</f>
        <v>Completed</v>
      </c>
      <c r="F418" s="8">
        <v>71</v>
      </c>
      <c r="G418" s="8">
        <v>74</v>
      </c>
      <c r="H418" s="8">
        <v>68</v>
      </c>
      <c r="I418">
        <f t="shared" si="18"/>
        <v>213</v>
      </c>
      <c r="J418">
        <f t="shared" si="19"/>
        <v>71</v>
      </c>
      <c r="K418" s="7" t="str">
        <f t="shared" si="20"/>
        <v>pass</v>
      </c>
    </row>
    <row r="419" spans="1:11" x14ac:dyDescent="0.25">
      <c r="A419" t="str">
        <f>PROPER(TRIM('raw data'!A419))</f>
        <v>Male</v>
      </c>
      <c r="B419" t="str">
        <f>PROPER(TRIM('raw data'!B419))</f>
        <v>Group C</v>
      </c>
      <c r="C419" s="7" t="str">
        <f>PROPER(TRIM('raw data'!C419))</f>
        <v>Associate'S Degree</v>
      </c>
      <c r="D419" s="7" t="str">
        <f>PROPER(TRIM('raw data'!D419))</f>
        <v>Standard</v>
      </c>
      <c r="E419" s="7" t="str">
        <f>PROPER(TRIM('raw data'!E419))</f>
        <v>None</v>
      </c>
      <c r="F419" s="8">
        <v>74</v>
      </c>
      <c r="G419" s="8">
        <v>73</v>
      </c>
      <c r="H419" s="8">
        <v>67</v>
      </c>
      <c r="I419">
        <f t="shared" si="18"/>
        <v>214</v>
      </c>
      <c r="J419">
        <f t="shared" si="19"/>
        <v>71.333333333333329</v>
      </c>
      <c r="K419" s="7" t="str">
        <f t="shared" si="20"/>
        <v>pass</v>
      </c>
    </row>
    <row r="420" spans="1:11" x14ac:dyDescent="0.25">
      <c r="A420" t="str">
        <f>PROPER(TRIM('raw data'!A420))</f>
        <v>Male</v>
      </c>
      <c r="B420" t="str">
        <f>PROPER(TRIM('raw data'!B420))</f>
        <v>Group D</v>
      </c>
      <c r="C420" s="7" t="str">
        <f>PROPER(TRIM('raw data'!C420))</f>
        <v>Some College</v>
      </c>
      <c r="D420" s="7" t="str">
        <f>PROPER(TRIM('raw data'!D420))</f>
        <v>Standard</v>
      </c>
      <c r="E420" s="7" t="str">
        <f>PROPER(TRIM('raw data'!E420))</f>
        <v>None</v>
      </c>
      <c r="F420" s="8">
        <v>68</v>
      </c>
      <c r="G420" s="8">
        <v>59</v>
      </c>
      <c r="H420" s="8">
        <v>62</v>
      </c>
      <c r="I420">
        <f t="shared" si="18"/>
        <v>189</v>
      </c>
      <c r="J420">
        <f t="shared" si="19"/>
        <v>63</v>
      </c>
      <c r="K420" s="7" t="str">
        <f t="shared" si="20"/>
        <v>pass</v>
      </c>
    </row>
    <row r="421" spans="1:11" x14ac:dyDescent="0.25">
      <c r="A421" t="str">
        <f>PROPER(TRIM('raw data'!A421))</f>
        <v>Male</v>
      </c>
      <c r="B421" t="str">
        <f>PROPER(TRIM('raw data'!B421))</f>
        <v>Group E</v>
      </c>
      <c r="C421" s="7" t="str">
        <f>PROPER(TRIM('raw data'!C421))</f>
        <v>High School</v>
      </c>
      <c r="D421" s="7" t="str">
        <f>PROPER(TRIM('raw data'!D421))</f>
        <v>Free/Reduced</v>
      </c>
      <c r="E421" s="7" t="str">
        <f>PROPER(TRIM('raw data'!E421))</f>
        <v>Completed</v>
      </c>
      <c r="F421" s="8">
        <v>57</v>
      </c>
      <c r="G421" s="8">
        <v>56</v>
      </c>
      <c r="H421" s="8">
        <v>54</v>
      </c>
      <c r="I421">
        <f t="shared" si="18"/>
        <v>167</v>
      </c>
      <c r="J421">
        <f t="shared" si="19"/>
        <v>55.666666666666664</v>
      </c>
      <c r="K421" s="7" t="str">
        <f t="shared" si="20"/>
        <v>pass</v>
      </c>
    </row>
    <row r="422" spans="1:11" x14ac:dyDescent="0.25">
      <c r="A422" t="str">
        <f>PROPER(TRIM('raw data'!A422))</f>
        <v>Female</v>
      </c>
      <c r="B422" t="str">
        <f>PROPER(TRIM('raw data'!B422))</f>
        <v>Group C</v>
      </c>
      <c r="C422" s="7" t="str">
        <f>PROPER(TRIM('raw data'!C422))</f>
        <v>Associate'S Degree</v>
      </c>
      <c r="D422" s="7" t="str">
        <f>PROPER(TRIM('raw data'!D422))</f>
        <v>Free/Reduced</v>
      </c>
      <c r="E422" s="7" t="str">
        <f>PROPER(TRIM('raw data'!E422))</f>
        <v>Completed</v>
      </c>
      <c r="F422" s="8">
        <v>82</v>
      </c>
      <c r="G422" s="8">
        <v>93</v>
      </c>
      <c r="H422" s="8">
        <v>93</v>
      </c>
      <c r="I422">
        <f t="shared" si="18"/>
        <v>268</v>
      </c>
      <c r="J422">
        <f t="shared" si="19"/>
        <v>89.333333333333329</v>
      </c>
      <c r="K422" s="7" t="str">
        <f t="shared" si="20"/>
        <v>pass</v>
      </c>
    </row>
    <row r="423" spans="1:11" x14ac:dyDescent="0.25">
      <c r="A423" t="str">
        <f>PROPER(TRIM('raw data'!A423))</f>
        <v>Female</v>
      </c>
      <c r="B423" t="str">
        <f>PROPER(TRIM('raw data'!B423))</f>
        <v>Group D</v>
      </c>
      <c r="C423" s="7" t="str">
        <f>PROPER(TRIM('raw data'!C423))</f>
        <v>High School</v>
      </c>
      <c r="D423" s="7" t="str">
        <f>PROPER(TRIM('raw data'!D423))</f>
        <v>Standard</v>
      </c>
      <c r="E423" s="7" t="str">
        <f>PROPER(TRIM('raw data'!E423))</f>
        <v>Completed</v>
      </c>
      <c r="F423" s="8">
        <v>57</v>
      </c>
      <c r="G423" s="8">
        <v>58</v>
      </c>
      <c r="H423" s="8">
        <v>64</v>
      </c>
      <c r="I423">
        <f t="shared" si="18"/>
        <v>179</v>
      </c>
      <c r="J423">
        <f t="shared" si="19"/>
        <v>59.666666666666664</v>
      </c>
      <c r="K423" s="7" t="str">
        <f t="shared" si="20"/>
        <v>pass</v>
      </c>
    </row>
    <row r="424" spans="1:11" x14ac:dyDescent="0.25">
      <c r="A424" t="str">
        <f>PROPER(TRIM('raw data'!A424))</f>
        <v>Female</v>
      </c>
      <c r="B424" t="str">
        <f>PROPER(TRIM('raw data'!B424))</f>
        <v>Group D</v>
      </c>
      <c r="C424" s="7" t="str">
        <f>PROPER(TRIM('raw data'!C424))</f>
        <v>Master'S Degree</v>
      </c>
      <c r="D424" s="7" t="str">
        <f>PROPER(TRIM('raw data'!D424))</f>
        <v>Free/Reduced</v>
      </c>
      <c r="E424" s="7" t="str">
        <f>PROPER(TRIM('raw data'!E424))</f>
        <v>Completed</v>
      </c>
      <c r="F424" s="8">
        <v>47</v>
      </c>
      <c r="G424" s="8">
        <v>58</v>
      </c>
      <c r="H424" s="8">
        <v>67</v>
      </c>
      <c r="I424">
        <f t="shared" si="18"/>
        <v>172</v>
      </c>
      <c r="J424">
        <f t="shared" si="19"/>
        <v>57.333333333333336</v>
      </c>
      <c r="K424" s="7" t="str">
        <f t="shared" si="20"/>
        <v>pass</v>
      </c>
    </row>
    <row r="425" spans="1:11" x14ac:dyDescent="0.25">
      <c r="A425" t="str">
        <f>PROPER(TRIM('raw data'!A425))</f>
        <v>Female</v>
      </c>
      <c r="B425" t="str">
        <f>PROPER(TRIM('raw data'!B425))</f>
        <v>Group A</v>
      </c>
      <c r="C425" s="7" t="str">
        <f>PROPER(TRIM('raw data'!C425))</f>
        <v>Some High School</v>
      </c>
      <c r="D425" s="7" t="str">
        <f>PROPER(TRIM('raw data'!D425))</f>
        <v>Standard</v>
      </c>
      <c r="E425" s="7" t="str">
        <f>PROPER(TRIM('raw data'!E425))</f>
        <v>Completed</v>
      </c>
      <c r="F425" s="8">
        <v>59</v>
      </c>
      <c r="G425" s="8">
        <v>85</v>
      </c>
      <c r="H425" s="8">
        <v>80</v>
      </c>
      <c r="I425">
        <f t="shared" si="18"/>
        <v>224</v>
      </c>
      <c r="J425">
        <f t="shared" si="19"/>
        <v>74.666666666666671</v>
      </c>
      <c r="K425" s="7" t="str">
        <f t="shared" si="20"/>
        <v>pass</v>
      </c>
    </row>
    <row r="426" spans="1:11" x14ac:dyDescent="0.25">
      <c r="A426" t="str">
        <f>PROPER(TRIM('raw data'!A426))</f>
        <v>Male</v>
      </c>
      <c r="B426" t="str">
        <f>PROPER(TRIM('raw data'!B426))</f>
        <v>Group B</v>
      </c>
      <c r="C426" s="7" t="str">
        <f>PROPER(TRIM('raw data'!C426))</f>
        <v>Some College</v>
      </c>
      <c r="D426" s="7" t="str">
        <f>PROPER(TRIM('raw data'!D426))</f>
        <v>Free/Reduced</v>
      </c>
      <c r="E426" s="7" t="str">
        <f>PROPER(TRIM('raw data'!E426))</f>
        <v>None</v>
      </c>
      <c r="F426" s="8">
        <v>41</v>
      </c>
      <c r="G426" s="8">
        <v>39</v>
      </c>
      <c r="H426" s="8">
        <v>34</v>
      </c>
      <c r="I426">
        <f t="shared" si="18"/>
        <v>114</v>
      </c>
      <c r="J426">
        <f t="shared" si="19"/>
        <v>38</v>
      </c>
      <c r="K426" s="7" t="str">
        <f t="shared" si="20"/>
        <v>fail</v>
      </c>
    </row>
    <row r="427" spans="1:11" x14ac:dyDescent="0.25">
      <c r="A427" t="str">
        <f>PROPER(TRIM('raw data'!A427))</f>
        <v>Female</v>
      </c>
      <c r="B427" t="str">
        <f>PROPER(TRIM('raw data'!B427))</f>
        <v>Group C</v>
      </c>
      <c r="C427" s="7" t="str">
        <f>PROPER(TRIM('raw data'!C427))</f>
        <v>Some College</v>
      </c>
      <c r="D427" s="7" t="str">
        <f>PROPER(TRIM('raw data'!D427))</f>
        <v>Free/Reduced</v>
      </c>
      <c r="E427" s="7" t="str">
        <f>PROPER(TRIM('raw data'!E427))</f>
        <v>None</v>
      </c>
      <c r="F427" s="8">
        <v>62</v>
      </c>
      <c r="G427" s="8">
        <v>67</v>
      </c>
      <c r="H427" s="8">
        <v>62</v>
      </c>
      <c r="I427">
        <f t="shared" si="18"/>
        <v>191</v>
      </c>
      <c r="J427">
        <f t="shared" si="19"/>
        <v>63.666666666666664</v>
      </c>
      <c r="K427" s="7" t="str">
        <f t="shared" si="20"/>
        <v>pass</v>
      </c>
    </row>
    <row r="428" spans="1:11" x14ac:dyDescent="0.25">
      <c r="A428" t="str">
        <f>PROPER(TRIM('raw data'!A428))</f>
        <v>Male</v>
      </c>
      <c r="B428" t="str">
        <f>PROPER(TRIM('raw data'!B428))</f>
        <v>Group C</v>
      </c>
      <c r="C428" s="7" t="str">
        <f>PROPER(TRIM('raw data'!C428))</f>
        <v>Bachelor'S Degree</v>
      </c>
      <c r="D428" s="7" t="str">
        <f>PROPER(TRIM('raw data'!D428))</f>
        <v>Standard</v>
      </c>
      <c r="E428" s="7" t="str">
        <f>PROPER(TRIM('raw data'!E428))</f>
        <v>None</v>
      </c>
      <c r="F428" s="8">
        <v>86</v>
      </c>
      <c r="G428" s="8">
        <v>83</v>
      </c>
      <c r="H428" s="8">
        <v>86</v>
      </c>
      <c r="I428">
        <f t="shared" si="18"/>
        <v>255</v>
      </c>
      <c r="J428">
        <f t="shared" si="19"/>
        <v>85</v>
      </c>
      <c r="K428" s="7" t="str">
        <f t="shared" si="20"/>
        <v>pass</v>
      </c>
    </row>
    <row r="429" spans="1:11" x14ac:dyDescent="0.25">
      <c r="A429" t="str">
        <f>PROPER(TRIM('raw data'!A429))</f>
        <v>Male</v>
      </c>
      <c r="B429" t="str">
        <f>PROPER(TRIM('raw data'!B429))</f>
        <v>Group C</v>
      </c>
      <c r="C429" s="7" t="str">
        <f>PROPER(TRIM('raw data'!C429))</f>
        <v>Some High School</v>
      </c>
      <c r="D429" s="7" t="str">
        <f>PROPER(TRIM('raw data'!D429))</f>
        <v>Free/Reduced</v>
      </c>
      <c r="E429" s="7" t="str">
        <f>PROPER(TRIM('raw data'!E429))</f>
        <v>None</v>
      </c>
      <c r="F429" s="8">
        <v>69</v>
      </c>
      <c r="G429" s="8">
        <v>71</v>
      </c>
      <c r="H429" s="8">
        <v>65</v>
      </c>
      <c r="I429">
        <f t="shared" si="18"/>
        <v>205</v>
      </c>
      <c r="J429">
        <f t="shared" si="19"/>
        <v>68.333333333333329</v>
      </c>
      <c r="K429" s="7" t="str">
        <f t="shared" si="20"/>
        <v>pass</v>
      </c>
    </row>
    <row r="430" spans="1:11" x14ac:dyDescent="0.25">
      <c r="A430" t="str">
        <f>PROPER(TRIM('raw data'!A430))</f>
        <v>Male</v>
      </c>
      <c r="B430" t="str">
        <f>PROPER(TRIM('raw data'!B430))</f>
        <v>Group A</v>
      </c>
      <c r="C430" s="7" t="str">
        <f>PROPER(TRIM('raw data'!C430))</f>
        <v>Some High School</v>
      </c>
      <c r="D430" s="7" t="str">
        <f>PROPER(TRIM('raw data'!D430))</f>
        <v>Free/Reduced</v>
      </c>
      <c r="E430" s="7" t="str">
        <f>PROPER(TRIM('raw data'!E430))</f>
        <v>None</v>
      </c>
      <c r="F430" s="8">
        <v>65</v>
      </c>
      <c r="G430" s="8">
        <v>59</v>
      </c>
      <c r="H430" s="8">
        <v>53</v>
      </c>
      <c r="I430">
        <f t="shared" si="18"/>
        <v>177</v>
      </c>
      <c r="J430">
        <f t="shared" si="19"/>
        <v>59</v>
      </c>
      <c r="K430" s="7" t="str">
        <f t="shared" si="20"/>
        <v>pass</v>
      </c>
    </row>
    <row r="431" spans="1:11" x14ac:dyDescent="0.25">
      <c r="A431" t="str">
        <f>PROPER(TRIM('raw data'!A431))</f>
        <v>Male</v>
      </c>
      <c r="B431" t="str">
        <f>PROPER(TRIM('raw data'!B431))</f>
        <v>Group C</v>
      </c>
      <c r="C431" s="7" t="str">
        <f>PROPER(TRIM('raw data'!C431))</f>
        <v>Some High School</v>
      </c>
      <c r="D431" s="7" t="str">
        <f>PROPER(TRIM('raw data'!D431))</f>
        <v>Free/Reduced</v>
      </c>
      <c r="E431" s="7" t="str">
        <f>PROPER(TRIM('raw data'!E431))</f>
        <v>None</v>
      </c>
      <c r="F431" s="8">
        <v>68</v>
      </c>
      <c r="G431" s="8">
        <v>63</v>
      </c>
      <c r="H431" s="8">
        <v>54</v>
      </c>
      <c r="I431">
        <f t="shared" si="18"/>
        <v>185</v>
      </c>
      <c r="J431">
        <f t="shared" si="19"/>
        <v>61.666666666666664</v>
      </c>
      <c r="K431" s="7" t="str">
        <f t="shared" si="20"/>
        <v>pass</v>
      </c>
    </row>
    <row r="432" spans="1:11" x14ac:dyDescent="0.25">
      <c r="A432" t="str">
        <f>PROPER(TRIM('raw data'!A432))</f>
        <v>Male</v>
      </c>
      <c r="B432" t="str">
        <f>PROPER(TRIM('raw data'!B432))</f>
        <v>Group C</v>
      </c>
      <c r="C432" s="7" t="str">
        <f>PROPER(TRIM('raw data'!C432))</f>
        <v>Associate'S Degree</v>
      </c>
      <c r="D432" s="7" t="str">
        <f>PROPER(TRIM('raw data'!D432))</f>
        <v>Free/Reduced</v>
      </c>
      <c r="E432" s="7" t="str">
        <f>PROPER(TRIM('raw data'!E432))</f>
        <v>None</v>
      </c>
      <c r="F432" s="8">
        <v>64</v>
      </c>
      <c r="G432" s="8">
        <v>66</v>
      </c>
      <c r="H432" s="8">
        <v>59</v>
      </c>
      <c r="I432">
        <f t="shared" si="18"/>
        <v>189</v>
      </c>
      <c r="J432">
        <f t="shared" si="19"/>
        <v>63</v>
      </c>
      <c r="K432" s="7" t="str">
        <f t="shared" si="20"/>
        <v>pass</v>
      </c>
    </row>
    <row r="433" spans="1:11" x14ac:dyDescent="0.25">
      <c r="A433" t="str">
        <f>PROPER(TRIM('raw data'!A433))</f>
        <v>Female</v>
      </c>
      <c r="B433" t="str">
        <f>PROPER(TRIM('raw data'!B433))</f>
        <v>Group C</v>
      </c>
      <c r="C433" s="7" t="str">
        <f>PROPER(TRIM('raw data'!C433))</f>
        <v>High School</v>
      </c>
      <c r="D433" s="7" t="str">
        <f>PROPER(TRIM('raw data'!D433))</f>
        <v>Standard</v>
      </c>
      <c r="E433" s="7" t="str">
        <f>PROPER(TRIM('raw data'!E433))</f>
        <v>None</v>
      </c>
      <c r="F433" s="8">
        <v>61</v>
      </c>
      <c r="G433" s="8">
        <v>72</v>
      </c>
      <c r="H433" s="8">
        <v>70</v>
      </c>
      <c r="I433">
        <f t="shared" si="18"/>
        <v>203</v>
      </c>
      <c r="J433">
        <f t="shared" si="19"/>
        <v>67.666666666666671</v>
      </c>
      <c r="K433" s="7" t="str">
        <f t="shared" si="20"/>
        <v>pass</v>
      </c>
    </row>
    <row r="434" spans="1:11" x14ac:dyDescent="0.25">
      <c r="A434" t="str">
        <f>PROPER(TRIM('raw data'!A434))</f>
        <v>Male</v>
      </c>
      <c r="B434" t="str">
        <f>PROPER(TRIM('raw data'!B434))</f>
        <v>Group C</v>
      </c>
      <c r="C434" s="7" t="str">
        <f>PROPER(TRIM('raw data'!C434))</f>
        <v>High School</v>
      </c>
      <c r="D434" s="7" t="str">
        <f>PROPER(TRIM('raw data'!D434))</f>
        <v>Standard</v>
      </c>
      <c r="E434" s="7" t="str">
        <f>PROPER(TRIM('raw data'!E434))</f>
        <v>None</v>
      </c>
      <c r="F434" s="8">
        <v>61</v>
      </c>
      <c r="G434" s="8">
        <v>56</v>
      </c>
      <c r="H434" s="8">
        <v>55</v>
      </c>
      <c r="I434">
        <f t="shared" si="18"/>
        <v>172</v>
      </c>
      <c r="J434">
        <f t="shared" si="19"/>
        <v>57.333333333333336</v>
      </c>
      <c r="K434" s="7" t="str">
        <f t="shared" si="20"/>
        <v>pass</v>
      </c>
    </row>
    <row r="435" spans="1:11" x14ac:dyDescent="0.25">
      <c r="A435" t="str">
        <f>PROPER(TRIM('raw data'!A435))</f>
        <v>Female</v>
      </c>
      <c r="B435" t="str">
        <f>PROPER(TRIM('raw data'!B435))</f>
        <v>Group A</v>
      </c>
      <c r="C435" s="7" t="str">
        <f>PROPER(TRIM('raw data'!C435))</f>
        <v>Some High School</v>
      </c>
      <c r="D435" s="7" t="str">
        <f>PROPER(TRIM('raw data'!D435))</f>
        <v>Free/Reduced</v>
      </c>
      <c r="E435" s="7" t="str">
        <f>PROPER(TRIM('raw data'!E435))</f>
        <v>None</v>
      </c>
      <c r="F435" s="8">
        <v>47</v>
      </c>
      <c r="G435" s="8">
        <v>59</v>
      </c>
      <c r="H435" s="8">
        <v>50</v>
      </c>
      <c r="I435">
        <f t="shared" si="18"/>
        <v>156</v>
      </c>
      <c r="J435">
        <f t="shared" si="19"/>
        <v>52</v>
      </c>
      <c r="K435" s="7" t="str">
        <f t="shared" si="20"/>
        <v>pass</v>
      </c>
    </row>
    <row r="436" spans="1:11" x14ac:dyDescent="0.25">
      <c r="A436" t="str">
        <f>PROPER(TRIM('raw data'!A436))</f>
        <v>Male</v>
      </c>
      <c r="B436" t="str">
        <f>PROPER(TRIM('raw data'!B436))</f>
        <v>Group C</v>
      </c>
      <c r="C436" s="7" t="str">
        <f>PROPER(TRIM('raw data'!C436))</f>
        <v>Some High School</v>
      </c>
      <c r="D436" s="7" t="str">
        <f>PROPER(TRIM('raw data'!D436))</f>
        <v>Standard</v>
      </c>
      <c r="E436" s="7" t="str">
        <f>PROPER(TRIM('raw data'!E436))</f>
        <v>None</v>
      </c>
      <c r="F436" s="8">
        <v>73</v>
      </c>
      <c r="G436" s="8">
        <v>66</v>
      </c>
      <c r="H436" s="8">
        <v>66</v>
      </c>
      <c r="I436">
        <f t="shared" si="18"/>
        <v>205</v>
      </c>
      <c r="J436">
        <f t="shared" si="19"/>
        <v>68.333333333333329</v>
      </c>
      <c r="K436" s="7" t="str">
        <f t="shared" si="20"/>
        <v>pass</v>
      </c>
    </row>
    <row r="437" spans="1:11" x14ac:dyDescent="0.25">
      <c r="A437" t="str">
        <f>PROPER(TRIM('raw data'!A437))</f>
        <v>Male</v>
      </c>
      <c r="B437" t="str">
        <f>PROPER(TRIM('raw data'!B437))</f>
        <v>Group C</v>
      </c>
      <c r="C437" s="7" t="str">
        <f>PROPER(TRIM('raw data'!C437))</f>
        <v>Some College</v>
      </c>
      <c r="D437" s="7" t="str">
        <f>PROPER(TRIM('raw data'!D437))</f>
        <v>Free/Reduced</v>
      </c>
      <c r="E437" s="7" t="str">
        <f>PROPER(TRIM('raw data'!E437))</f>
        <v>Completed</v>
      </c>
      <c r="F437" s="8">
        <v>50</v>
      </c>
      <c r="G437" s="8">
        <v>48</v>
      </c>
      <c r="H437" s="8">
        <v>53</v>
      </c>
      <c r="I437">
        <f t="shared" si="18"/>
        <v>151</v>
      </c>
      <c r="J437">
        <f t="shared" si="19"/>
        <v>50.333333333333336</v>
      </c>
      <c r="K437" s="7" t="str">
        <f t="shared" si="20"/>
        <v>pass</v>
      </c>
    </row>
    <row r="438" spans="1:11" x14ac:dyDescent="0.25">
      <c r="A438" t="str">
        <f>PROPER(TRIM('raw data'!A438))</f>
        <v>Male</v>
      </c>
      <c r="B438" t="str">
        <f>PROPER(TRIM('raw data'!B438))</f>
        <v>Group D</v>
      </c>
      <c r="C438" s="7" t="str">
        <f>PROPER(TRIM('raw data'!C438))</f>
        <v>Associate'S Degree</v>
      </c>
      <c r="D438" s="7" t="str">
        <f>PROPER(TRIM('raw data'!D438))</f>
        <v>Standard</v>
      </c>
      <c r="E438" s="7" t="str">
        <f>PROPER(TRIM('raw data'!E438))</f>
        <v>None</v>
      </c>
      <c r="F438" s="8">
        <v>75</v>
      </c>
      <c r="G438" s="8">
        <v>68</v>
      </c>
      <c r="H438" s="8">
        <v>64</v>
      </c>
      <c r="I438">
        <f t="shared" si="18"/>
        <v>207</v>
      </c>
      <c r="J438">
        <f t="shared" si="19"/>
        <v>69</v>
      </c>
      <c r="K438" s="7" t="str">
        <f t="shared" si="20"/>
        <v>pass</v>
      </c>
    </row>
    <row r="439" spans="1:11" x14ac:dyDescent="0.25">
      <c r="A439" t="str">
        <f>PROPER(TRIM('raw data'!A439))</f>
        <v>Male</v>
      </c>
      <c r="B439" t="str">
        <f>PROPER(TRIM('raw data'!B439))</f>
        <v>Group D</v>
      </c>
      <c r="C439" s="7" t="str">
        <f>PROPER(TRIM('raw data'!C439))</f>
        <v>Associate'S Degree</v>
      </c>
      <c r="D439" s="7" t="str">
        <f>PROPER(TRIM('raw data'!D439))</f>
        <v>Free/Reduced</v>
      </c>
      <c r="E439" s="7" t="str">
        <f>PROPER(TRIM('raw data'!E439))</f>
        <v>None</v>
      </c>
      <c r="F439" s="8">
        <v>75</v>
      </c>
      <c r="G439" s="8">
        <v>66</v>
      </c>
      <c r="H439" s="8">
        <v>73</v>
      </c>
      <c r="I439">
        <f t="shared" si="18"/>
        <v>214</v>
      </c>
      <c r="J439">
        <f t="shared" si="19"/>
        <v>71.333333333333329</v>
      </c>
      <c r="K439" s="7" t="str">
        <f t="shared" si="20"/>
        <v>pass</v>
      </c>
    </row>
    <row r="440" spans="1:11" x14ac:dyDescent="0.25">
      <c r="A440" t="str">
        <f>PROPER(TRIM('raw data'!A440))</f>
        <v>Male</v>
      </c>
      <c r="B440" t="str">
        <f>PROPER(TRIM('raw data'!B440))</f>
        <v>Group C</v>
      </c>
      <c r="C440" s="7" t="str">
        <f>PROPER(TRIM('raw data'!C440))</f>
        <v>High School</v>
      </c>
      <c r="D440" s="7" t="str">
        <f>PROPER(TRIM('raw data'!D440))</f>
        <v>Standard</v>
      </c>
      <c r="E440" s="7" t="str">
        <f>PROPER(TRIM('raw data'!E440))</f>
        <v>None</v>
      </c>
      <c r="F440" s="8">
        <v>70</v>
      </c>
      <c r="G440" s="8">
        <v>56</v>
      </c>
      <c r="H440" s="8">
        <v>51</v>
      </c>
      <c r="I440">
        <f t="shared" si="18"/>
        <v>177</v>
      </c>
      <c r="J440">
        <f t="shared" si="19"/>
        <v>59</v>
      </c>
      <c r="K440" s="7" t="str">
        <f t="shared" si="20"/>
        <v>pass</v>
      </c>
    </row>
    <row r="441" spans="1:11" x14ac:dyDescent="0.25">
      <c r="A441" t="str">
        <f>PROPER(TRIM('raw data'!A441))</f>
        <v>Male</v>
      </c>
      <c r="B441" t="str">
        <f>PROPER(TRIM('raw data'!B441))</f>
        <v>Group D</v>
      </c>
      <c r="C441" s="7" t="str">
        <f>PROPER(TRIM('raw data'!C441))</f>
        <v>Some High School</v>
      </c>
      <c r="D441" s="7" t="str">
        <f>PROPER(TRIM('raw data'!D441))</f>
        <v>Standard</v>
      </c>
      <c r="E441" s="7" t="str">
        <f>PROPER(TRIM('raw data'!E441))</f>
        <v>Completed</v>
      </c>
      <c r="F441" s="8">
        <v>89</v>
      </c>
      <c r="G441" s="8">
        <v>88</v>
      </c>
      <c r="H441" s="8">
        <v>82</v>
      </c>
      <c r="I441">
        <f t="shared" si="18"/>
        <v>259</v>
      </c>
      <c r="J441">
        <f t="shared" si="19"/>
        <v>86.333333333333329</v>
      </c>
      <c r="K441" s="7" t="str">
        <f t="shared" si="20"/>
        <v>pass</v>
      </c>
    </row>
    <row r="442" spans="1:11" x14ac:dyDescent="0.25">
      <c r="A442" t="str">
        <f>PROPER(TRIM('raw data'!A442))</f>
        <v>Female</v>
      </c>
      <c r="B442" t="str">
        <f>PROPER(TRIM('raw data'!B442))</f>
        <v>Group C</v>
      </c>
      <c r="C442" s="7" t="str">
        <f>PROPER(TRIM('raw data'!C442))</f>
        <v>Some College</v>
      </c>
      <c r="D442" s="7" t="str">
        <f>PROPER(TRIM('raw data'!D442))</f>
        <v>Standard</v>
      </c>
      <c r="E442" s="7" t="str">
        <f>PROPER(TRIM('raw data'!E442))</f>
        <v>Completed</v>
      </c>
      <c r="F442" s="8">
        <v>67</v>
      </c>
      <c r="G442" s="8">
        <v>81</v>
      </c>
      <c r="H442" s="8">
        <v>79</v>
      </c>
      <c r="I442">
        <f t="shared" si="18"/>
        <v>227</v>
      </c>
      <c r="J442">
        <f t="shared" si="19"/>
        <v>75.666666666666671</v>
      </c>
      <c r="K442" s="7" t="str">
        <f t="shared" si="20"/>
        <v>pass</v>
      </c>
    </row>
    <row r="443" spans="1:11" x14ac:dyDescent="0.25">
      <c r="A443" t="str">
        <f>PROPER(TRIM('raw data'!A443))</f>
        <v>Female</v>
      </c>
      <c r="B443" t="str">
        <f>PROPER(TRIM('raw data'!B443))</f>
        <v>Group D</v>
      </c>
      <c r="C443" s="7" t="str">
        <f>PROPER(TRIM('raw data'!C443))</f>
        <v>High School</v>
      </c>
      <c r="D443" s="7" t="str">
        <f>PROPER(TRIM('raw data'!D443))</f>
        <v>Standard</v>
      </c>
      <c r="E443" s="7" t="str">
        <f>PROPER(TRIM('raw data'!E443))</f>
        <v>None</v>
      </c>
      <c r="F443" s="8">
        <v>78</v>
      </c>
      <c r="G443" s="8">
        <v>81</v>
      </c>
      <c r="H443" s="8">
        <v>80</v>
      </c>
      <c r="I443">
        <f t="shared" si="18"/>
        <v>239</v>
      </c>
      <c r="J443">
        <f t="shared" si="19"/>
        <v>79.666666666666671</v>
      </c>
      <c r="K443" s="7" t="str">
        <f t="shared" si="20"/>
        <v>pass</v>
      </c>
    </row>
    <row r="444" spans="1:11" x14ac:dyDescent="0.25">
      <c r="A444" t="str">
        <f>PROPER(TRIM('raw data'!A444))</f>
        <v>Female</v>
      </c>
      <c r="B444" t="str">
        <f>PROPER(TRIM('raw data'!B444))</f>
        <v>Group A</v>
      </c>
      <c r="C444" s="7" t="str">
        <f>PROPER(TRIM('raw data'!C444))</f>
        <v>Some High School</v>
      </c>
      <c r="D444" s="7" t="str">
        <f>PROPER(TRIM('raw data'!D444))</f>
        <v>Free/Reduced</v>
      </c>
      <c r="E444" s="7" t="str">
        <f>PROPER(TRIM('raw data'!E444))</f>
        <v>None</v>
      </c>
      <c r="F444" s="8">
        <v>59</v>
      </c>
      <c r="G444" s="8">
        <v>73</v>
      </c>
      <c r="H444" s="8">
        <v>69</v>
      </c>
      <c r="I444">
        <f t="shared" si="18"/>
        <v>201</v>
      </c>
      <c r="J444">
        <f t="shared" si="19"/>
        <v>67</v>
      </c>
      <c r="K444" s="7" t="str">
        <f t="shared" si="20"/>
        <v>pass</v>
      </c>
    </row>
    <row r="445" spans="1:11" x14ac:dyDescent="0.25">
      <c r="A445" t="str">
        <f>PROPER(TRIM('raw data'!A445))</f>
        <v>Female</v>
      </c>
      <c r="B445" t="str">
        <f>PROPER(TRIM('raw data'!B445))</f>
        <v>Group B</v>
      </c>
      <c r="C445" s="7" t="str">
        <f>PROPER(TRIM('raw data'!C445))</f>
        <v>Associate'S Degree</v>
      </c>
      <c r="D445" s="7" t="str">
        <f>PROPER(TRIM('raw data'!D445))</f>
        <v>Standard</v>
      </c>
      <c r="E445" s="7" t="str">
        <f>PROPER(TRIM('raw data'!E445))</f>
        <v>None</v>
      </c>
      <c r="F445" s="8">
        <v>73</v>
      </c>
      <c r="G445" s="8">
        <v>83</v>
      </c>
      <c r="H445" s="8">
        <v>76</v>
      </c>
      <c r="I445">
        <f t="shared" si="18"/>
        <v>232</v>
      </c>
      <c r="J445">
        <f t="shared" si="19"/>
        <v>77.333333333333329</v>
      </c>
      <c r="K445" s="7" t="str">
        <f t="shared" si="20"/>
        <v>pass</v>
      </c>
    </row>
    <row r="446" spans="1:11" x14ac:dyDescent="0.25">
      <c r="A446" t="str">
        <f>PROPER(TRIM('raw data'!A446))</f>
        <v>Male</v>
      </c>
      <c r="B446" t="str">
        <f>PROPER(TRIM('raw data'!B446))</f>
        <v>Group A</v>
      </c>
      <c r="C446" s="7" t="str">
        <f>PROPER(TRIM('raw data'!C446))</f>
        <v>Some High School</v>
      </c>
      <c r="D446" s="7" t="str">
        <f>PROPER(TRIM('raw data'!D446))</f>
        <v>Free/Reduced</v>
      </c>
      <c r="E446" s="7" t="str">
        <f>PROPER(TRIM('raw data'!E446))</f>
        <v>None</v>
      </c>
      <c r="F446" s="8">
        <v>79</v>
      </c>
      <c r="G446" s="8">
        <v>82</v>
      </c>
      <c r="H446" s="8">
        <v>73</v>
      </c>
      <c r="I446">
        <f t="shared" si="18"/>
        <v>234</v>
      </c>
      <c r="J446">
        <f t="shared" si="19"/>
        <v>78</v>
      </c>
      <c r="K446" s="7" t="str">
        <f t="shared" si="20"/>
        <v>pass</v>
      </c>
    </row>
    <row r="447" spans="1:11" x14ac:dyDescent="0.25">
      <c r="A447" t="str">
        <f>PROPER(TRIM('raw data'!A447))</f>
        <v>Female</v>
      </c>
      <c r="B447" t="str">
        <f>PROPER(TRIM('raw data'!B447))</f>
        <v>Group C</v>
      </c>
      <c r="C447" s="7" t="str">
        <f>PROPER(TRIM('raw data'!C447))</f>
        <v>Some High School</v>
      </c>
      <c r="D447" s="7" t="str">
        <f>PROPER(TRIM('raw data'!D447))</f>
        <v>Standard</v>
      </c>
      <c r="E447" s="7" t="str">
        <f>PROPER(TRIM('raw data'!E447))</f>
        <v>Completed</v>
      </c>
      <c r="F447" s="8">
        <v>67</v>
      </c>
      <c r="G447" s="8">
        <v>74</v>
      </c>
      <c r="H447" s="8">
        <v>77</v>
      </c>
      <c r="I447">
        <f t="shared" si="18"/>
        <v>218</v>
      </c>
      <c r="J447">
        <f t="shared" si="19"/>
        <v>72.666666666666671</v>
      </c>
      <c r="K447" s="7" t="str">
        <f t="shared" si="20"/>
        <v>pass</v>
      </c>
    </row>
    <row r="448" spans="1:11" x14ac:dyDescent="0.25">
      <c r="A448" t="str">
        <f>PROPER(TRIM('raw data'!A448))</f>
        <v>Male</v>
      </c>
      <c r="B448" t="str">
        <f>PROPER(TRIM('raw data'!B448))</f>
        <v>Group D</v>
      </c>
      <c r="C448" s="7" t="str">
        <f>PROPER(TRIM('raw data'!C448))</f>
        <v>Some College</v>
      </c>
      <c r="D448" s="7" t="str">
        <f>PROPER(TRIM('raw data'!D448))</f>
        <v>Free/Reduced</v>
      </c>
      <c r="E448" s="7" t="str">
        <f>PROPER(TRIM('raw data'!E448))</f>
        <v>None</v>
      </c>
      <c r="F448" s="8">
        <v>69</v>
      </c>
      <c r="G448" s="8">
        <v>66</v>
      </c>
      <c r="H448" s="8">
        <v>60</v>
      </c>
      <c r="I448">
        <f t="shared" si="18"/>
        <v>195</v>
      </c>
      <c r="J448">
        <f t="shared" si="19"/>
        <v>65</v>
      </c>
      <c r="K448" s="7" t="str">
        <f t="shared" si="20"/>
        <v>pass</v>
      </c>
    </row>
    <row r="449" spans="1:11" x14ac:dyDescent="0.25">
      <c r="A449" t="str">
        <f>PROPER(TRIM('raw data'!A449))</f>
        <v>Male</v>
      </c>
      <c r="B449" t="str">
        <f>PROPER(TRIM('raw data'!B449))</f>
        <v>Group C</v>
      </c>
      <c r="C449" s="7" t="str">
        <f>PROPER(TRIM('raw data'!C449))</f>
        <v>High School</v>
      </c>
      <c r="D449" s="7" t="str">
        <f>PROPER(TRIM('raw data'!D449))</f>
        <v>Standard</v>
      </c>
      <c r="E449" s="7" t="str">
        <f>PROPER(TRIM('raw data'!E449))</f>
        <v>Completed</v>
      </c>
      <c r="F449" s="8">
        <v>86</v>
      </c>
      <c r="G449" s="8">
        <v>81</v>
      </c>
      <c r="H449" s="8">
        <v>80</v>
      </c>
      <c r="I449">
        <f t="shared" si="18"/>
        <v>247</v>
      </c>
      <c r="J449">
        <f t="shared" si="19"/>
        <v>82.333333333333329</v>
      </c>
      <c r="K449" s="7" t="str">
        <f t="shared" si="20"/>
        <v>pass</v>
      </c>
    </row>
    <row r="450" spans="1:11" x14ac:dyDescent="0.25">
      <c r="A450" t="str">
        <f>PROPER(TRIM('raw data'!A450))</f>
        <v>Male</v>
      </c>
      <c r="B450" t="str">
        <f>PROPER(TRIM('raw data'!B450))</f>
        <v>Group B</v>
      </c>
      <c r="C450" s="7" t="str">
        <f>PROPER(TRIM('raw data'!C450))</f>
        <v>High School</v>
      </c>
      <c r="D450" s="7" t="str">
        <f>PROPER(TRIM('raw data'!D450))</f>
        <v>Standard</v>
      </c>
      <c r="E450" s="7" t="str">
        <f>PROPER(TRIM('raw data'!E450))</f>
        <v>None</v>
      </c>
      <c r="F450" s="8">
        <v>47</v>
      </c>
      <c r="G450" s="8">
        <v>46</v>
      </c>
      <c r="H450" s="8">
        <v>42</v>
      </c>
      <c r="I450">
        <f t="shared" si="18"/>
        <v>135</v>
      </c>
      <c r="J450">
        <f t="shared" si="19"/>
        <v>45</v>
      </c>
      <c r="K450" s="7" t="str">
        <f t="shared" si="20"/>
        <v>pass</v>
      </c>
    </row>
    <row r="451" spans="1:11" x14ac:dyDescent="0.25">
      <c r="A451" t="str">
        <f>PROPER(TRIM('raw data'!A451))</f>
        <v>Male</v>
      </c>
      <c r="B451" t="str">
        <f>PROPER(TRIM('raw data'!B451))</f>
        <v>Group B</v>
      </c>
      <c r="C451" s="7" t="str">
        <f>PROPER(TRIM('raw data'!C451))</f>
        <v>Associate'S Degree</v>
      </c>
      <c r="D451" s="7" t="str">
        <f>PROPER(TRIM('raw data'!D451))</f>
        <v>Standard</v>
      </c>
      <c r="E451" s="7" t="str">
        <f>PROPER(TRIM('raw data'!E451))</f>
        <v>None</v>
      </c>
      <c r="F451" s="8">
        <v>81</v>
      </c>
      <c r="G451" s="8">
        <v>73</v>
      </c>
      <c r="H451" s="8">
        <v>72</v>
      </c>
      <c r="I451">
        <f t="shared" ref="I451:I514" si="21">F451+G451+H451</f>
        <v>226</v>
      </c>
      <c r="J451">
        <f t="shared" ref="J451:J514" si="22">I451/3</f>
        <v>75.333333333333329</v>
      </c>
      <c r="K451" s="7" t="str">
        <f t="shared" ref="K451:K514" si="23">IF(J451&gt;=40,"pass","fail")</f>
        <v>pass</v>
      </c>
    </row>
    <row r="452" spans="1:11" x14ac:dyDescent="0.25">
      <c r="A452" t="str">
        <f>PROPER(TRIM('raw data'!A452))</f>
        <v>Female</v>
      </c>
      <c r="B452" t="str">
        <f>PROPER(TRIM('raw data'!B452))</f>
        <v>Group C</v>
      </c>
      <c r="C452" s="7" t="str">
        <f>PROPER(TRIM('raw data'!C452))</f>
        <v>Some College</v>
      </c>
      <c r="D452" s="7" t="str">
        <f>PROPER(TRIM('raw data'!D452))</f>
        <v>Free/Reduced</v>
      </c>
      <c r="E452" s="7" t="str">
        <f>PROPER(TRIM('raw data'!E452))</f>
        <v>Completed</v>
      </c>
      <c r="F452" s="8">
        <v>64</v>
      </c>
      <c r="G452" s="8">
        <v>85</v>
      </c>
      <c r="H452" s="8">
        <v>85</v>
      </c>
      <c r="I452">
        <f t="shared" si="21"/>
        <v>234</v>
      </c>
      <c r="J452">
        <f t="shared" si="22"/>
        <v>78</v>
      </c>
      <c r="K452" s="7" t="str">
        <f t="shared" si="23"/>
        <v>pass</v>
      </c>
    </row>
    <row r="453" spans="1:11" x14ac:dyDescent="0.25">
      <c r="A453" t="str">
        <f>PROPER(TRIM('raw data'!A453))</f>
        <v>Female</v>
      </c>
      <c r="B453" t="str">
        <f>PROPER(TRIM('raw data'!B453))</f>
        <v>Group E</v>
      </c>
      <c r="C453" s="7" t="str">
        <f>PROPER(TRIM('raw data'!C453))</f>
        <v>Some College</v>
      </c>
      <c r="D453" s="7" t="str">
        <f>PROPER(TRIM('raw data'!D453))</f>
        <v>Standard</v>
      </c>
      <c r="E453" s="7" t="str">
        <f>PROPER(TRIM('raw data'!E453))</f>
        <v>None</v>
      </c>
      <c r="F453" s="8">
        <v>100</v>
      </c>
      <c r="G453" s="8">
        <v>92</v>
      </c>
      <c r="H453" s="8">
        <v>97</v>
      </c>
      <c r="I453">
        <f t="shared" si="21"/>
        <v>289</v>
      </c>
      <c r="J453">
        <f t="shared" si="22"/>
        <v>96.333333333333329</v>
      </c>
      <c r="K453" s="7" t="str">
        <f t="shared" si="23"/>
        <v>pass</v>
      </c>
    </row>
    <row r="454" spans="1:11" x14ac:dyDescent="0.25">
      <c r="A454" t="str">
        <f>PROPER(TRIM('raw data'!A454))</f>
        <v>Female</v>
      </c>
      <c r="B454" t="str">
        <f>PROPER(TRIM('raw data'!B454))</f>
        <v>Group C</v>
      </c>
      <c r="C454" s="7" t="str">
        <f>PROPER(TRIM('raw data'!C454))</f>
        <v>Associate'S Degree</v>
      </c>
      <c r="D454" s="7" t="str">
        <f>PROPER(TRIM('raw data'!D454))</f>
        <v>Free/Reduced</v>
      </c>
      <c r="E454" s="7" t="str">
        <f>PROPER(TRIM('raw data'!E454))</f>
        <v>None</v>
      </c>
      <c r="F454" s="8">
        <v>65</v>
      </c>
      <c r="G454" s="8">
        <v>77</v>
      </c>
      <c r="H454" s="8">
        <v>74</v>
      </c>
      <c r="I454">
        <f t="shared" si="21"/>
        <v>216</v>
      </c>
      <c r="J454">
        <f t="shared" si="22"/>
        <v>72</v>
      </c>
      <c r="K454" s="7" t="str">
        <f t="shared" si="23"/>
        <v>pass</v>
      </c>
    </row>
    <row r="455" spans="1:11" x14ac:dyDescent="0.25">
      <c r="A455" t="str">
        <f>PROPER(TRIM('raw data'!A455))</f>
        <v>Male</v>
      </c>
      <c r="B455" t="str">
        <f>PROPER(TRIM('raw data'!B455))</f>
        <v>Group C</v>
      </c>
      <c r="C455" s="7" t="str">
        <f>PROPER(TRIM('raw data'!C455))</f>
        <v>Some College</v>
      </c>
      <c r="D455" s="7" t="str">
        <f>PROPER(TRIM('raw data'!D455))</f>
        <v>Free/Reduced</v>
      </c>
      <c r="E455" s="7" t="str">
        <f>PROPER(TRIM('raw data'!E455))</f>
        <v>None</v>
      </c>
      <c r="F455" s="8">
        <v>65</v>
      </c>
      <c r="G455" s="8">
        <v>58</v>
      </c>
      <c r="H455" s="8">
        <v>49</v>
      </c>
      <c r="I455">
        <f t="shared" si="21"/>
        <v>172</v>
      </c>
      <c r="J455">
        <f t="shared" si="22"/>
        <v>57.333333333333336</v>
      </c>
      <c r="K455" s="7" t="str">
        <f t="shared" si="23"/>
        <v>pass</v>
      </c>
    </row>
    <row r="456" spans="1:11" x14ac:dyDescent="0.25">
      <c r="A456" t="str">
        <f>PROPER(TRIM('raw data'!A456))</f>
        <v>Female</v>
      </c>
      <c r="B456" t="str">
        <f>PROPER(TRIM('raw data'!B456))</f>
        <v>Group C</v>
      </c>
      <c r="C456" s="7" t="str">
        <f>PROPER(TRIM('raw data'!C456))</f>
        <v>Associate'S Degree</v>
      </c>
      <c r="D456" s="7" t="str">
        <f>PROPER(TRIM('raw data'!D456))</f>
        <v>Free/Reduced</v>
      </c>
      <c r="E456" s="7" t="str">
        <f>PROPER(TRIM('raw data'!E456))</f>
        <v>None</v>
      </c>
      <c r="F456" s="8">
        <v>53</v>
      </c>
      <c r="G456" s="8">
        <v>61</v>
      </c>
      <c r="H456" s="8">
        <v>62</v>
      </c>
      <c r="I456">
        <f t="shared" si="21"/>
        <v>176</v>
      </c>
      <c r="J456">
        <f t="shared" si="22"/>
        <v>58.666666666666664</v>
      </c>
      <c r="K456" s="7" t="str">
        <f t="shared" si="23"/>
        <v>pass</v>
      </c>
    </row>
    <row r="457" spans="1:11" x14ac:dyDescent="0.25">
      <c r="A457" t="str">
        <f>PROPER(TRIM('raw data'!A457))</f>
        <v>Male</v>
      </c>
      <c r="B457" t="str">
        <f>PROPER(TRIM('raw data'!B457))</f>
        <v>Group C</v>
      </c>
      <c r="C457" s="7" t="str">
        <f>PROPER(TRIM('raw data'!C457))</f>
        <v>Bachelor'S Degree</v>
      </c>
      <c r="D457" s="7" t="str">
        <f>PROPER(TRIM('raw data'!D457))</f>
        <v>Free/Reduced</v>
      </c>
      <c r="E457" s="7" t="str">
        <f>PROPER(TRIM('raw data'!E457))</f>
        <v>None</v>
      </c>
      <c r="F457" s="8">
        <v>37</v>
      </c>
      <c r="G457" s="8">
        <v>56</v>
      </c>
      <c r="H457" s="8">
        <v>47</v>
      </c>
      <c r="I457">
        <f t="shared" si="21"/>
        <v>140</v>
      </c>
      <c r="J457">
        <f t="shared" si="22"/>
        <v>46.666666666666664</v>
      </c>
      <c r="K457" s="7" t="str">
        <f t="shared" si="23"/>
        <v>pass</v>
      </c>
    </row>
    <row r="458" spans="1:11" x14ac:dyDescent="0.25">
      <c r="A458" t="str">
        <f>PROPER(TRIM('raw data'!A458))</f>
        <v>Female</v>
      </c>
      <c r="B458" t="str">
        <f>PROPER(TRIM('raw data'!B458))</f>
        <v>Group D</v>
      </c>
      <c r="C458" s="7" t="str">
        <f>PROPER(TRIM('raw data'!C458))</f>
        <v>Bachelor'S Degree</v>
      </c>
      <c r="D458" s="7" t="str">
        <f>PROPER(TRIM('raw data'!D458))</f>
        <v>Standard</v>
      </c>
      <c r="E458" s="7" t="str">
        <f>PROPER(TRIM('raw data'!E458))</f>
        <v>None</v>
      </c>
      <c r="F458" s="8">
        <v>79</v>
      </c>
      <c r="G458" s="8">
        <v>89</v>
      </c>
      <c r="H458" s="8">
        <v>89</v>
      </c>
      <c r="I458">
        <f t="shared" si="21"/>
        <v>257</v>
      </c>
      <c r="J458">
        <f t="shared" si="22"/>
        <v>85.666666666666671</v>
      </c>
      <c r="K458" s="7" t="str">
        <f t="shared" si="23"/>
        <v>pass</v>
      </c>
    </row>
    <row r="459" spans="1:11" x14ac:dyDescent="0.25">
      <c r="A459" t="str">
        <f>PROPER(TRIM('raw data'!A459))</f>
        <v>Male</v>
      </c>
      <c r="B459" t="str">
        <f>PROPER(TRIM('raw data'!B459))</f>
        <v>Group D</v>
      </c>
      <c r="C459" s="7" t="str">
        <f>PROPER(TRIM('raw data'!C459))</f>
        <v>Associate'S Degree</v>
      </c>
      <c r="D459" s="7" t="str">
        <f>PROPER(TRIM('raw data'!D459))</f>
        <v>Free/Reduced</v>
      </c>
      <c r="E459" s="7" t="str">
        <f>PROPER(TRIM('raw data'!E459))</f>
        <v>None</v>
      </c>
      <c r="F459" s="8">
        <v>53</v>
      </c>
      <c r="G459" s="8">
        <v>54</v>
      </c>
      <c r="H459" s="8">
        <v>48</v>
      </c>
      <c r="I459">
        <f t="shared" si="21"/>
        <v>155</v>
      </c>
      <c r="J459">
        <f t="shared" si="22"/>
        <v>51.666666666666664</v>
      </c>
      <c r="K459" s="7" t="str">
        <f t="shared" si="23"/>
        <v>pass</v>
      </c>
    </row>
    <row r="460" spans="1:11" x14ac:dyDescent="0.25">
      <c r="A460" t="str">
        <f>PROPER(TRIM('raw data'!A460))</f>
        <v>Female</v>
      </c>
      <c r="B460" t="str">
        <f>PROPER(TRIM('raw data'!B460))</f>
        <v>Group E</v>
      </c>
      <c r="C460" s="7" t="str">
        <f>PROPER(TRIM('raw data'!C460))</f>
        <v>Bachelor'S Degree</v>
      </c>
      <c r="D460" s="7" t="str">
        <f>PROPER(TRIM('raw data'!D460))</f>
        <v>Standard</v>
      </c>
      <c r="E460" s="7" t="str">
        <f>PROPER(TRIM('raw data'!E460))</f>
        <v>None</v>
      </c>
      <c r="F460" s="8">
        <v>100</v>
      </c>
      <c r="G460" s="8">
        <v>100</v>
      </c>
      <c r="H460" s="8">
        <v>100</v>
      </c>
      <c r="I460">
        <f t="shared" si="21"/>
        <v>300</v>
      </c>
      <c r="J460">
        <f t="shared" si="22"/>
        <v>100</v>
      </c>
      <c r="K460" s="7" t="str">
        <f t="shared" si="23"/>
        <v>pass</v>
      </c>
    </row>
    <row r="461" spans="1:11" x14ac:dyDescent="0.25">
      <c r="A461" t="str">
        <f>PROPER(TRIM('raw data'!A461))</f>
        <v>Male</v>
      </c>
      <c r="B461" t="str">
        <f>PROPER(TRIM('raw data'!B461))</f>
        <v>Group B</v>
      </c>
      <c r="C461" s="7" t="str">
        <f>PROPER(TRIM('raw data'!C461))</f>
        <v>High School</v>
      </c>
      <c r="D461" s="7" t="str">
        <f>PROPER(TRIM('raw data'!D461))</f>
        <v>Standard</v>
      </c>
      <c r="E461" s="7" t="str">
        <f>PROPER(TRIM('raw data'!E461))</f>
        <v>Completed</v>
      </c>
      <c r="F461" s="8">
        <v>72</v>
      </c>
      <c r="G461" s="8">
        <v>65</v>
      </c>
      <c r="H461" s="8">
        <v>68</v>
      </c>
      <c r="I461">
        <f t="shared" si="21"/>
        <v>205</v>
      </c>
      <c r="J461">
        <f t="shared" si="22"/>
        <v>68.333333333333329</v>
      </c>
      <c r="K461" s="7" t="str">
        <f t="shared" si="23"/>
        <v>pass</v>
      </c>
    </row>
    <row r="462" spans="1:11" x14ac:dyDescent="0.25">
      <c r="A462" t="str">
        <f>PROPER(TRIM('raw data'!A462))</f>
        <v>Male</v>
      </c>
      <c r="B462" t="str">
        <f>PROPER(TRIM('raw data'!B462))</f>
        <v>Group C</v>
      </c>
      <c r="C462" s="7" t="str">
        <f>PROPER(TRIM('raw data'!C462))</f>
        <v>Bachelor'S Degree</v>
      </c>
      <c r="D462" s="7" t="str">
        <f>PROPER(TRIM('raw data'!D462))</f>
        <v>Free/Reduced</v>
      </c>
      <c r="E462" s="7" t="str">
        <f>PROPER(TRIM('raw data'!E462))</f>
        <v>None</v>
      </c>
      <c r="F462" s="8">
        <v>53</v>
      </c>
      <c r="G462" s="8">
        <v>58</v>
      </c>
      <c r="H462" s="8">
        <v>55</v>
      </c>
      <c r="I462">
        <f t="shared" si="21"/>
        <v>166</v>
      </c>
      <c r="J462">
        <f t="shared" si="22"/>
        <v>55.333333333333336</v>
      </c>
      <c r="K462" s="7" t="str">
        <f t="shared" si="23"/>
        <v>pass</v>
      </c>
    </row>
    <row r="463" spans="1:11" x14ac:dyDescent="0.25">
      <c r="A463" t="str">
        <f>PROPER(TRIM('raw data'!A463))</f>
        <v>Male</v>
      </c>
      <c r="B463" t="str">
        <f>PROPER(TRIM('raw data'!B463))</f>
        <v>Group B</v>
      </c>
      <c r="C463" s="7" t="str">
        <f>PROPER(TRIM('raw data'!C463))</f>
        <v>Some College</v>
      </c>
      <c r="D463" s="7" t="str">
        <f>PROPER(TRIM('raw data'!D463))</f>
        <v>Free/Reduced</v>
      </c>
      <c r="E463" s="7" t="str">
        <f>PROPER(TRIM('raw data'!E463))</f>
        <v>None</v>
      </c>
      <c r="F463" s="8">
        <v>54</v>
      </c>
      <c r="G463" s="8">
        <v>54</v>
      </c>
      <c r="H463" s="8">
        <v>45</v>
      </c>
      <c r="I463">
        <f t="shared" si="21"/>
        <v>153</v>
      </c>
      <c r="J463">
        <f t="shared" si="22"/>
        <v>51</v>
      </c>
      <c r="K463" s="7" t="str">
        <f t="shared" si="23"/>
        <v>pass</v>
      </c>
    </row>
    <row r="464" spans="1:11" x14ac:dyDescent="0.25">
      <c r="A464" t="str">
        <f>PROPER(TRIM('raw data'!A464))</f>
        <v>Female</v>
      </c>
      <c r="B464" t="str">
        <f>PROPER(TRIM('raw data'!B464))</f>
        <v>Group E</v>
      </c>
      <c r="C464" s="7" t="str">
        <f>PROPER(TRIM('raw data'!C464))</f>
        <v>Some College</v>
      </c>
      <c r="D464" s="7" t="str">
        <f>PROPER(TRIM('raw data'!D464))</f>
        <v>Standard</v>
      </c>
      <c r="E464" s="7" t="str">
        <f>PROPER(TRIM('raw data'!E464))</f>
        <v>None</v>
      </c>
      <c r="F464" s="8">
        <v>71</v>
      </c>
      <c r="G464" s="8">
        <v>70</v>
      </c>
      <c r="H464" s="8">
        <v>76</v>
      </c>
      <c r="I464">
        <f t="shared" si="21"/>
        <v>217</v>
      </c>
      <c r="J464">
        <f t="shared" si="22"/>
        <v>72.333333333333329</v>
      </c>
      <c r="K464" s="7" t="str">
        <f t="shared" si="23"/>
        <v>pass</v>
      </c>
    </row>
    <row r="465" spans="1:11" x14ac:dyDescent="0.25">
      <c r="A465" t="str">
        <f>PROPER(TRIM('raw data'!A465))</f>
        <v>Female</v>
      </c>
      <c r="B465" t="str">
        <f>PROPER(TRIM('raw data'!B465))</f>
        <v>Group C</v>
      </c>
      <c r="C465" s="7" t="str">
        <f>PROPER(TRIM('raw data'!C465))</f>
        <v>Some College</v>
      </c>
      <c r="D465" s="7" t="str">
        <f>PROPER(TRIM('raw data'!D465))</f>
        <v>Free/Reduced</v>
      </c>
      <c r="E465" s="7" t="str">
        <f>PROPER(TRIM('raw data'!E465))</f>
        <v>None</v>
      </c>
      <c r="F465" s="8">
        <v>77</v>
      </c>
      <c r="G465" s="8">
        <v>90</v>
      </c>
      <c r="H465" s="8">
        <v>91</v>
      </c>
      <c r="I465">
        <f t="shared" si="21"/>
        <v>258</v>
      </c>
      <c r="J465">
        <f t="shared" si="22"/>
        <v>86</v>
      </c>
      <c r="K465" s="7" t="str">
        <f t="shared" si="23"/>
        <v>pass</v>
      </c>
    </row>
    <row r="466" spans="1:11" x14ac:dyDescent="0.25">
      <c r="A466" t="str">
        <f>PROPER(TRIM('raw data'!A466))</f>
        <v>Male</v>
      </c>
      <c r="B466" t="str">
        <f>PROPER(TRIM('raw data'!B466))</f>
        <v>Group A</v>
      </c>
      <c r="C466" s="7" t="str">
        <f>PROPER(TRIM('raw data'!C466))</f>
        <v>Bachelor'S Degree</v>
      </c>
      <c r="D466" s="7" t="str">
        <f>PROPER(TRIM('raw data'!D466))</f>
        <v>Standard</v>
      </c>
      <c r="E466" s="7" t="str">
        <f>PROPER(TRIM('raw data'!E466))</f>
        <v>Completed</v>
      </c>
      <c r="F466" s="8">
        <v>75</v>
      </c>
      <c r="G466" s="8">
        <v>58</v>
      </c>
      <c r="H466" s="8">
        <v>62</v>
      </c>
      <c r="I466">
        <f t="shared" si="21"/>
        <v>195</v>
      </c>
      <c r="J466">
        <f t="shared" si="22"/>
        <v>65</v>
      </c>
      <c r="K466" s="7" t="str">
        <f t="shared" si="23"/>
        <v>pass</v>
      </c>
    </row>
    <row r="467" spans="1:11" x14ac:dyDescent="0.25">
      <c r="A467" t="str">
        <f>PROPER(TRIM('raw data'!A467))</f>
        <v>Female</v>
      </c>
      <c r="B467" t="str">
        <f>PROPER(TRIM('raw data'!B467))</f>
        <v>Group C</v>
      </c>
      <c r="C467" s="7" t="str">
        <f>PROPER(TRIM('raw data'!C467))</f>
        <v>Some College</v>
      </c>
      <c r="D467" s="7" t="str">
        <f>PROPER(TRIM('raw data'!D467))</f>
        <v>Standard</v>
      </c>
      <c r="E467" s="7" t="str">
        <f>PROPER(TRIM('raw data'!E467))</f>
        <v>None</v>
      </c>
      <c r="F467" s="8">
        <v>84</v>
      </c>
      <c r="G467" s="8">
        <v>87</v>
      </c>
      <c r="H467" s="8">
        <v>91</v>
      </c>
      <c r="I467">
        <f t="shared" si="21"/>
        <v>262</v>
      </c>
      <c r="J467">
        <f t="shared" si="22"/>
        <v>87.333333333333329</v>
      </c>
      <c r="K467" s="7" t="str">
        <f t="shared" si="23"/>
        <v>pass</v>
      </c>
    </row>
    <row r="468" spans="1:11" x14ac:dyDescent="0.25">
      <c r="A468" t="str">
        <f>PROPER(TRIM('raw data'!A468))</f>
        <v>Female</v>
      </c>
      <c r="B468" t="str">
        <f>PROPER(TRIM('raw data'!B468))</f>
        <v>Group D</v>
      </c>
      <c r="C468" s="7" t="str">
        <f>PROPER(TRIM('raw data'!C468))</f>
        <v>Associate'S Degree</v>
      </c>
      <c r="D468" s="7" t="str">
        <f>PROPER(TRIM('raw data'!D468))</f>
        <v>Free/Reduced</v>
      </c>
      <c r="E468" s="7" t="str">
        <f>PROPER(TRIM('raw data'!E468))</f>
        <v>None</v>
      </c>
      <c r="F468" s="8">
        <v>26</v>
      </c>
      <c r="G468" s="8">
        <v>31</v>
      </c>
      <c r="H468" s="8">
        <v>38</v>
      </c>
      <c r="I468">
        <f t="shared" si="21"/>
        <v>95</v>
      </c>
      <c r="J468">
        <f t="shared" si="22"/>
        <v>31.666666666666668</v>
      </c>
      <c r="K468" s="7" t="str">
        <f t="shared" si="23"/>
        <v>fail</v>
      </c>
    </row>
    <row r="469" spans="1:11" x14ac:dyDescent="0.25">
      <c r="A469" t="str">
        <f>PROPER(TRIM('raw data'!A469))</f>
        <v>Male</v>
      </c>
      <c r="B469" t="str">
        <f>PROPER(TRIM('raw data'!B469))</f>
        <v>Group A</v>
      </c>
      <c r="C469" s="7" t="str">
        <f>PROPER(TRIM('raw data'!C469))</f>
        <v>High School</v>
      </c>
      <c r="D469" s="7" t="str">
        <f>PROPER(TRIM('raw data'!D469))</f>
        <v>Free/Reduced</v>
      </c>
      <c r="E469" s="7" t="str">
        <f>PROPER(TRIM('raw data'!E469))</f>
        <v>Completed</v>
      </c>
      <c r="F469" s="8">
        <v>72</v>
      </c>
      <c r="G469" s="8">
        <v>67</v>
      </c>
      <c r="H469" s="8">
        <v>65</v>
      </c>
      <c r="I469">
        <f t="shared" si="21"/>
        <v>204</v>
      </c>
      <c r="J469">
        <f t="shared" si="22"/>
        <v>68</v>
      </c>
      <c r="K469" s="7" t="str">
        <f t="shared" si="23"/>
        <v>pass</v>
      </c>
    </row>
    <row r="470" spans="1:11" x14ac:dyDescent="0.25">
      <c r="A470" t="str">
        <f>PROPER(TRIM('raw data'!A470))</f>
        <v>Female</v>
      </c>
      <c r="B470" t="str">
        <f>PROPER(TRIM('raw data'!B470))</f>
        <v>Group A</v>
      </c>
      <c r="C470" s="7" t="str">
        <f>PROPER(TRIM('raw data'!C470))</f>
        <v>High School</v>
      </c>
      <c r="D470" s="7" t="str">
        <f>PROPER(TRIM('raw data'!D470))</f>
        <v>Free/Reduced</v>
      </c>
      <c r="E470" s="7" t="str">
        <f>PROPER(TRIM('raw data'!E470))</f>
        <v>Completed</v>
      </c>
      <c r="F470" s="8">
        <v>77</v>
      </c>
      <c r="G470" s="8">
        <v>88</v>
      </c>
      <c r="H470" s="8">
        <v>85</v>
      </c>
      <c r="I470">
        <f t="shared" si="21"/>
        <v>250</v>
      </c>
      <c r="J470">
        <f t="shared" si="22"/>
        <v>83.333333333333329</v>
      </c>
      <c r="K470" s="7" t="str">
        <f t="shared" si="23"/>
        <v>pass</v>
      </c>
    </row>
    <row r="471" spans="1:11" x14ac:dyDescent="0.25">
      <c r="A471" t="str">
        <f>PROPER(TRIM('raw data'!A471))</f>
        <v>Male</v>
      </c>
      <c r="B471" t="str">
        <f>PROPER(TRIM('raw data'!B471))</f>
        <v>Group C</v>
      </c>
      <c r="C471" s="7" t="str">
        <f>PROPER(TRIM('raw data'!C471))</f>
        <v>Some College</v>
      </c>
      <c r="D471" s="7" t="str">
        <f>PROPER(TRIM('raw data'!D471))</f>
        <v>Standard</v>
      </c>
      <c r="E471" s="7" t="str">
        <f>PROPER(TRIM('raw data'!E471))</f>
        <v>None</v>
      </c>
      <c r="F471" s="8">
        <v>91</v>
      </c>
      <c r="G471" s="8">
        <v>74</v>
      </c>
      <c r="H471" s="8">
        <v>76</v>
      </c>
      <c r="I471">
        <f t="shared" si="21"/>
        <v>241</v>
      </c>
      <c r="J471">
        <f t="shared" si="22"/>
        <v>80.333333333333329</v>
      </c>
      <c r="K471" s="7" t="str">
        <f t="shared" si="23"/>
        <v>pass</v>
      </c>
    </row>
    <row r="472" spans="1:11" x14ac:dyDescent="0.25">
      <c r="A472" t="str">
        <f>PROPER(TRIM('raw data'!A472))</f>
        <v>Female</v>
      </c>
      <c r="B472" t="str">
        <f>PROPER(TRIM('raw data'!B472))</f>
        <v>Group C</v>
      </c>
      <c r="C472" s="7" t="str">
        <f>PROPER(TRIM('raw data'!C472))</f>
        <v>Associate'S Degree</v>
      </c>
      <c r="D472" s="7" t="str">
        <f>PROPER(TRIM('raw data'!D472))</f>
        <v>Standard</v>
      </c>
      <c r="E472" s="7" t="str">
        <f>PROPER(TRIM('raw data'!E472))</f>
        <v>Completed</v>
      </c>
      <c r="F472" s="8">
        <v>83</v>
      </c>
      <c r="G472" s="8">
        <v>85</v>
      </c>
      <c r="H472" s="8">
        <v>90</v>
      </c>
      <c r="I472">
        <f t="shared" si="21"/>
        <v>258</v>
      </c>
      <c r="J472">
        <f t="shared" si="22"/>
        <v>86</v>
      </c>
      <c r="K472" s="7" t="str">
        <f t="shared" si="23"/>
        <v>pass</v>
      </c>
    </row>
    <row r="473" spans="1:11" x14ac:dyDescent="0.25">
      <c r="A473" t="str">
        <f>PROPER(TRIM('raw data'!A473))</f>
        <v>Female</v>
      </c>
      <c r="B473" t="str">
        <f>PROPER(TRIM('raw data'!B473))</f>
        <v>Group C</v>
      </c>
      <c r="C473" s="7" t="str">
        <f>PROPER(TRIM('raw data'!C473))</f>
        <v>High School</v>
      </c>
      <c r="D473" s="7" t="str">
        <f>PROPER(TRIM('raw data'!D473))</f>
        <v>Standard</v>
      </c>
      <c r="E473" s="7" t="str">
        <f>PROPER(TRIM('raw data'!E473))</f>
        <v>None</v>
      </c>
      <c r="F473" s="8">
        <v>63</v>
      </c>
      <c r="G473" s="8">
        <v>69</v>
      </c>
      <c r="H473" s="8">
        <v>74</v>
      </c>
      <c r="I473">
        <f t="shared" si="21"/>
        <v>206</v>
      </c>
      <c r="J473">
        <f t="shared" si="22"/>
        <v>68.666666666666671</v>
      </c>
      <c r="K473" s="7" t="str">
        <f t="shared" si="23"/>
        <v>pass</v>
      </c>
    </row>
    <row r="474" spans="1:11" x14ac:dyDescent="0.25">
      <c r="A474" t="str">
        <f>PROPER(TRIM('raw data'!A474))</f>
        <v>Female</v>
      </c>
      <c r="B474" t="str">
        <f>PROPER(TRIM('raw data'!B474))</f>
        <v>Group C</v>
      </c>
      <c r="C474" s="7" t="str">
        <f>PROPER(TRIM('raw data'!C474))</f>
        <v>Associate'S Degree</v>
      </c>
      <c r="D474" s="7" t="str">
        <f>PROPER(TRIM('raw data'!D474))</f>
        <v>Standard</v>
      </c>
      <c r="E474" s="7" t="str">
        <f>PROPER(TRIM('raw data'!E474))</f>
        <v>Completed</v>
      </c>
      <c r="F474" s="8">
        <v>68</v>
      </c>
      <c r="G474" s="8">
        <v>86</v>
      </c>
      <c r="H474" s="8">
        <v>84</v>
      </c>
      <c r="I474">
        <f t="shared" si="21"/>
        <v>238</v>
      </c>
      <c r="J474">
        <f t="shared" si="22"/>
        <v>79.333333333333329</v>
      </c>
      <c r="K474" s="7" t="str">
        <f t="shared" si="23"/>
        <v>pass</v>
      </c>
    </row>
    <row r="475" spans="1:11" x14ac:dyDescent="0.25">
      <c r="A475" t="str">
        <f>PROPER(TRIM('raw data'!A475))</f>
        <v>Female</v>
      </c>
      <c r="B475" t="str">
        <f>PROPER(TRIM('raw data'!B475))</f>
        <v>Group D</v>
      </c>
      <c r="C475" s="7" t="str">
        <f>PROPER(TRIM('raw data'!C475))</f>
        <v>Some High School</v>
      </c>
      <c r="D475" s="7" t="str">
        <f>PROPER(TRIM('raw data'!D475))</f>
        <v>Standard</v>
      </c>
      <c r="E475" s="7" t="str">
        <f>PROPER(TRIM('raw data'!E475))</f>
        <v>None</v>
      </c>
      <c r="F475" s="8">
        <v>59</v>
      </c>
      <c r="G475" s="8">
        <v>67</v>
      </c>
      <c r="H475" s="8">
        <v>61</v>
      </c>
      <c r="I475">
        <f t="shared" si="21"/>
        <v>187</v>
      </c>
      <c r="J475">
        <f t="shared" si="22"/>
        <v>62.333333333333336</v>
      </c>
      <c r="K475" s="7" t="str">
        <f t="shared" si="23"/>
        <v>pass</v>
      </c>
    </row>
    <row r="476" spans="1:11" x14ac:dyDescent="0.25">
      <c r="A476" t="str">
        <f>PROPER(TRIM('raw data'!A476))</f>
        <v>Female</v>
      </c>
      <c r="B476" t="str">
        <f>PROPER(TRIM('raw data'!B476))</f>
        <v>Group B</v>
      </c>
      <c r="C476" s="7" t="str">
        <f>PROPER(TRIM('raw data'!C476))</f>
        <v>Associate'S Degree</v>
      </c>
      <c r="D476" s="7" t="str">
        <f>PROPER(TRIM('raw data'!D476))</f>
        <v>Standard</v>
      </c>
      <c r="E476" s="7" t="str">
        <f>PROPER(TRIM('raw data'!E476))</f>
        <v>Completed</v>
      </c>
      <c r="F476" s="8">
        <v>90</v>
      </c>
      <c r="G476" s="8">
        <v>90</v>
      </c>
      <c r="H476" s="8">
        <v>91</v>
      </c>
      <c r="I476">
        <f t="shared" si="21"/>
        <v>271</v>
      </c>
      <c r="J476">
        <f t="shared" si="22"/>
        <v>90.333333333333329</v>
      </c>
      <c r="K476" s="7" t="str">
        <f t="shared" si="23"/>
        <v>pass</v>
      </c>
    </row>
    <row r="477" spans="1:11" x14ac:dyDescent="0.25">
      <c r="A477" t="str">
        <f>PROPER(TRIM('raw data'!A477))</f>
        <v>Female</v>
      </c>
      <c r="B477" t="str">
        <f>PROPER(TRIM('raw data'!B477))</f>
        <v>Group D</v>
      </c>
      <c r="C477" s="7" t="str">
        <f>PROPER(TRIM('raw data'!C477))</f>
        <v>Bachelor'S Degree</v>
      </c>
      <c r="D477" s="7" t="str">
        <f>PROPER(TRIM('raw data'!D477))</f>
        <v>Standard</v>
      </c>
      <c r="E477" s="7" t="str">
        <f>PROPER(TRIM('raw data'!E477))</f>
        <v>Completed</v>
      </c>
      <c r="F477" s="8">
        <v>71</v>
      </c>
      <c r="G477" s="8">
        <v>76</v>
      </c>
      <c r="H477" s="8">
        <v>83</v>
      </c>
      <c r="I477">
        <f t="shared" si="21"/>
        <v>230</v>
      </c>
      <c r="J477">
        <f t="shared" si="22"/>
        <v>76.666666666666671</v>
      </c>
      <c r="K477" s="7" t="str">
        <f t="shared" si="23"/>
        <v>pass</v>
      </c>
    </row>
    <row r="478" spans="1:11" x14ac:dyDescent="0.25">
      <c r="A478" t="str">
        <f>PROPER(TRIM('raw data'!A478))</f>
        <v>Male</v>
      </c>
      <c r="B478" t="str">
        <f>PROPER(TRIM('raw data'!B478))</f>
        <v>Group E</v>
      </c>
      <c r="C478" s="7" t="str">
        <f>PROPER(TRIM('raw data'!C478))</f>
        <v>Bachelor'S Degree</v>
      </c>
      <c r="D478" s="7" t="str">
        <f>PROPER(TRIM('raw data'!D478))</f>
        <v>Standard</v>
      </c>
      <c r="E478" s="7" t="str">
        <f>PROPER(TRIM('raw data'!E478))</f>
        <v>Completed</v>
      </c>
      <c r="F478" s="8">
        <v>76</v>
      </c>
      <c r="G478" s="8">
        <v>62</v>
      </c>
      <c r="H478" s="8">
        <v>66</v>
      </c>
      <c r="I478">
        <f t="shared" si="21"/>
        <v>204</v>
      </c>
      <c r="J478">
        <f t="shared" si="22"/>
        <v>68</v>
      </c>
      <c r="K478" s="7" t="str">
        <f t="shared" si="23"/>
        <v>pass</v>
      </c>
    </row>
    <row r="479" spans="1:11" x14ac:dyDescent="0.25">
      <c r="A479" t="str">
        <f>PROPER(TRIM('raw data'!A479))</f>
        <v>Male</v>
      </c>
      <c r="B479" t="str">
        <f>PROPER(TRIM('raw data'!B479))</f>
        <v>Group D</v>
      </c>
      <c r="C479" s="7" t="str">
        <f>PROPER(TRIM('raw data'!C479))</f>
        <v>Associate'S Degree</v>
      </c>
      <c r="D479" s="7" t="str">
        <f>PROPER(TRIM('raw data'!D479))</f>
        <v>Standard</v>
      </c>
      <c r="E479" s="7" t="str">
        <f>PROPER(TRIM('raw data'!E479))</f>
        <v>None</v>
      </c>
      <c r="F479" s="8">
        <v>80</v>
      </c>
      <c r="G479" s="8">
        <v>68</v>
      </c>
      <c r="H479" s="8">
        <v>72</v>
      </c>
      <c r="I479">
        <f t="shared" si="21"/>
        <v>220</v>
      </c>
      <c r="J479">
        <f t="shared" si="22"/>
        <v>73.333333333333329</v>
      </c>
      <c r="K479" s="7" t="str">
        <f t="shared" si="23"/>
        <v>pass</v>
      </c>
    </row>
    <row r="480" spans="1:11" x14ac:dyDescent="0.25">
      <c r="A480" t="str">
        <f>PROPER(TRIM('raw data'!A480))</f>
        <v>Female</v>
      </c>
      <c r="B480" t="str">
        <f>PROPER(TRIM('raw data'!B480))</f>
        <v>Group D</v>
      </c>
      <c r="C480" s="7" t="str">
        <f>PROPER(TRIM('raw data'!C480))</f>
        <v>Master'S Degree</v>
      </c>
      <c r="D480" s="7" t="str">
        <f>PROPER(TRIM('raw data'!D480))</f>
        <v>Standard</v>
      </c>
      <c r="E480" s="7" t="str">
        <f>PROPER(TRIM('raw data'!E480))</f>
        <v>None</v>
      </c>
      <c r="F480" s="8">
        <v>55</v>
      </c>
      <c r="G480" s="8">
        <v>64</v>
      </c>
      <c r="H480" s="8">
        <v>70</v>
      </c>
      <c r="I480">
        <f t="shared" si="21"/>
        <v>189</v>
      </c>
      <c r="J480">
        <f t="shared" si="22"/>
        <v>63</v>
      </c>
      <c r="K480" s="7" t="str">
        <f t="shared" si="23"/>
        <v>pass</v>
      </c>
    </row>
    <row r="481" spans="1:11" x14ac:dyDescent="0.25">
      <c r="A481" t="str">
        <f>PROPER(TRIM('raw data'!A481))</f>
        <v>Male</v>
      </c>
      <c r="B481" t="str">
        <f>PROPER(TRIM('raw data'!B481))</f>
        <v>Group E</v>
      </c>
      <c r="C481" s="7" t="str">
        <f>PROPER(TRIM('raw data'!C481))</f>
        <v>Associate'S Degree</v>
      </c>
      <c r="D481" s="7" t="str">
        <f>PROPER(TRIM('raw data'!D481))</f>
        <v>Standard</v>
      </c>
      <c r="E481" s="7" t="str">
        <f>PROPER(TRIM('raw data'!E481))</f>
        <v>None</v>
      </c>
      <c r="F481" s="8">
        <v>76</v>
      </c>
      <c r="G481" s="8">
        <v>71</v>
      </c>
      <c r="H481" s="8">
        <v>67</v>
      </c>
      <c r="I481">
        <f t="shared" si="21"/>
        <v>214</v>
      </c>
      <c r="J481">
        <f t="shared" si="22"/>
        <v>71.333333333333329</v>
      </c>
      <c r="K481" s="7" t="str">
        <f t="shared" si="23"/>
        <v>pass</v>
      </c>
    </row>
    <row r="482" spans="1:11" x14ac:dyDescent="0.25">
      <c r="A482" t="str">
        <f>PROPER(TRIM('raw data'!A482))</f>
        <v>Male</v>
      </c>
      <c r="B482" t="str">
        <f>PROPER(TRIM('raw data'!B482))</f>
        <v>Group B</v>
      </c>
      <c r="C482" s="7" t="str">
        <f>PROPER(TRIM('raw data'!C482))</f>
        <v>High School</v>
      </c>
      <c r="D482" s="7" t="str">
        <f>PROPER(TRIM('raw data'!D482))</f>
        <v>Standard</v>
      </c>
      <c r="E482" s="7" t="str">
        <f>PROPER(TRIM('raw data'!E482))</f>
        <v>Completed</v>
      </c>
      <c r="F482" s="8">
        <v>73</v>
      </c>
      <c r="G482" s="8">
        <v>71</v>
      </c>
      <c r="H482" s="8">
        <v>68</v>
      </c>
      <c r="I482">
        <f t="shared" si="21"/>
        <v>212</v>
      </c>
      <c r="J482">
        <f t="shared" si="22"/>
        <v>70.666666666666671</v>
      </c>
      <c r="K482" s="7" t="str">
        <f t="shared" si="23"/>
        <v>pass</v>
      </c>
    </row>
    <row r="483" spans="1:11" x14ac:dyDescent="0.25">
      <c r="A483" t="str">
        <f>PROPER(TRIM('raw data'!A483))</f>
        <v>Female</v>
      </c>
      <c r="B483" t="str">
        <f>PROPER(TRIM('raw data'!B483))</f>
        <v>Group D</v>
      </c>
      <c r="C483" s="7" t="str">
        <f>PROPER(TRIM('raw data'!C483))</f>
        <v>Associate'S Degree</v>
      </c>
      <c r="D483" s="7" t="str">
        <f>PROPER(TRIM('raw data'!D483))</f>
        <v>Free/Reduced</v>
      </c>
      <c r="E483" s="7" t="str">
        <f>PROPER(TRIM('raw data'!E483))</f>
        <v>None</v>
      </c>
      <c r="F483" s="8">
        <v>52</v>
      </c>
      <c r="G483" s="8">
        <v>59</v>
      </c>
      <c r="H483" s="8">
        <v>56</v>
      </c>
      <c r="I483">
        <f t="shared" si="21"/>
        <v>167</v>
      </c>
      <c r="J483">
        <f t="shared" si="22"/>
        <v>55.666666666666664</v>
      </c>
      <c r="K483" s="7" t="str">
        <f t="shared" si="23"/>
        <v>pass</v>
      </c>
    </row>
    <row r="484" spans="1:11" x14ac:dyDescent="0.25">
      <c r="A484" t="str">
        <f>PROPER(TRIM('raw data'!A484))</f>
        <v>Male</v>
      </c>
      <c r="B484" t="str">
        <f>PROPER(TRIM('raw data'!B484))</f>
        <v>Group C</v>
      </c>
      <c r="C484" s="7" t="str">
        <f>PROPER(TRIM('raw data'!C484))</f>
        <v>Some College</v>
      </c>
      <c r="D484" s="7" t="str">
        <f>PROPER(TRIM('raw data'!D484))</f>
        <v>Free/Reduced</v>
      </c>
      <c r="E484" s="7" t="str">
        <f>PROPER(TRIM('raw data'!E484))</f>
        <v>None</v>
      </c>
      <c r="F484" s="8">
        <v>68</v>
      </c>
      <c r="G484" s="8">
        <v>68</v>
      </c>
      <c r="H484" s="8">
        <v>61</v>
      </c>
      <c r="I484">
        <f t="shared" si="21"/>
        <v>197</v>
      </c>
      <c r="J484">
        <f t="shared" si="22"/>
        <v>65.666666666666671</v>
      </c>
      <c r="K484" s="7" t="str">
        <f t="shared" si="23"/>
        <v>pass</v>
      </c>
    </row>
    <row r="485" spans="1:11" x14ac:dyDescent="0.25">
      <c r="A485" t="str">
        <f>PROPER(TRIM('raw data'!A485))</f>
        <v>Male</v>
      </c>
      <c r="B485" t="str">
        <f>PROPER(TRIM('raw data'!B485))</f>
        <v>Group A</v>
      </c>
      <c r="C485" s="7" t="str">
        <f>PROPER(TRIM('raw data'!C485))</f>
        <v>High School</v>
      </c>
      <c r="D485" s="7" t="str">
        <f>PROPER(TRIM('raw data'!D485))</f>
        <v>Standard</v>
      </c>
      <c r="E485" s="7" t="str">
        <f>PROPER(TRIM('raw data'!E485))</f>
        <v>None</v>
      </c>
      <c r="F485" s="8">
        <v>59</v>
      </c>
      <c r="G485" s="8">
        <v>52</v>
      </c>
      <c r="H485" s="8">
        <v>46</v>
      </c>
      <c r="I485">
        <f t="shared" si="21"/>
        <v>157</v>
      </c>
      <c r="J485">
        <f t="shared" si="22"/>
        <v>52.333333333333336</v>
      </c>
      <c r="K485" s="7" t="str">
        <f t="shared" si="23"/>
        <v>pass</v>
      </c>
    </row>
    <row r="486" spans="1:11" x14ac:dyDescent="0.25">
      <c r="A486" t="str">
        <f>PROPER(TRIM('raw data'!A486))</f>
        <v>Female</v>
      </c>
      <c r="B486" t="str">
        <f>PROPER(TRIM('raw data'!B486))</f>
        <v>Group B</v>
      </c>
      <c r="C486" s="7" t="str">
        <f>PROPER(TRIM('raw data'!C486))</f>
        <v>Associate'S Degree</v>
      </c>
      <c r="D486" s="7" t="str">
        <f>PROPER(TRIM('raw data'!D486))</f>
        <v>Standard</v>
      </c>
      <c r="E486" s="7" t="str">
        <f>PROPER(TRIM('raw data'!E486))</f>
        <v>None</v>
      </c>
      <c r="F486" s="8">
        <v>49</v>
      </c>
      <c r="G486" s="8">
        <v>52</v>
      </c>
      <c r="H486" s="8">
        <v>54</v>
      </c>
      <c r="I486">
        <f t="shared" si="21"/>
        <v>155</v>
      </c>
      <c r="J486">
        <f t="shared" si="22"/>
        <v>51.666666666666664</v>
      </c>
      <c r="K486" s="7" t="str">
        <f t="shared" si="23"/>
        <v>pass</v>
      </c>
    </row>
    <row r="487" spans="1:11" x14ac:dyDescent="0.25">
      <c r="A487" t="str">
        <f>PROPER(TRIM('raw data'!A487))</f>
        <v>Male</v>
      </c>
      <c r="B487" t="str">
        <f>PROPER(TRIM('raw data'!B487))</f>
        <v>Group C</v>
      </c>
      <c r="C487" s="7" t="str">
        <f>PROPER(TRIM('raw data'!C487))</f>
        <v>High School</v>
      </c>
      <c r="D487" s="7" t="str">
        <f>PROPER(TRIM('raw data'!D487))</f>
        <v>Standard</v>
      </c>
      <c r="E487" s="7" t="str">
        <f>PROPER(TRIM('raw data'!E487))</f>
        <v>None</v>
      </c>
      <c r="F487" s="8">
        <v>70</v>
      </c>
      <c r="G487" s="8">
        <v>74</v>
      </c>
      <c r="H487" s="8">
        <v>71</v>
      </c>
      <c r="I487">
        <f t="shared" si="21"/>
        <v>215</v>
      </c>
      <c r="J487">
        <f t="shared" si="22"/>
        <v>71.666666666666671</v>
      </c>
      <c r="K487" s="7" t="str">
        <f t="shared" si="23"/>
        <v>pass</v>
      </c>
    </row>
    <row r="488" spans="1:11" x14ac:dyDescent="0.25">
      <c r="A488" t="str">
        <f>PROPER(TRIM('raw data'!A488))</f>
        <v>Male</v>
      </c>
      <c r="B488" t="str">
        <f>PROPER(TRIM('raw data'!B488))</f>
        <v>Group D</v>
      </c>
      <c r="C488" s="7" t="str">
        <f>PROPER(TRIM('raw data'!C488))</f>
        <v>Some College</v>
      </c>
      <c r="D488" s="7" t="str">
        <f>PROPER(TRIM('raw data'!D488))</f>
        <v>Free/Reduced</v>
      </c>
      <c r="E488" s="7" t="str">
        <f>PROPER(TRIM('raw data'!E488))</f>
        <v>None</v>
      </c>
      <c r="F488" s="8">
        <v>61</v>
      </c>
      <c r="G488" s="8">
        <v>47</v>
      </c>
      <c r="H488" s="8">
        <v>56</v>
      </c>
      <c r="I488">
        <f t="shared" si="21"/>
        <v>164</v>
      </c>
      <c r="J488">
        <f t="shared" si="22"/>
        <v>54.666666666666664</v>
      </c>
      <c r="K488" s="7" t="str">
        <f t="shared" si="23"/>
        <v>pass</v>
      </c>
    </row>
    <row r="489" spans="1:11" x14ac:dyDescent="0.25">
      <c r="A489" t="str">
        <f>PROPER(TRIM('raw data'!A489))</f>
        <v>Female</v>
      </c>
      <c r="B489" t="str">
        <f>PROPER(TRIM('raw data'!B489))</f>
        <v>Group C</v>
      </c>
      <c r="C489" s="7" t="str">
        <f>PROPER(TRIM('raw data'!C489))</f>
        <v>Associate'S Degree</v>
      </c>
      <c r="D489" s="7" t="str">
        <f>PROPER(TRIM('raw data'!D489))</f>
        <v>Free/Reduced</v>
      </c>
      <c r="E489" s="7" t="str">
        <f>PROPER(TRIM('raw data'!E489))</f>
        <v>None</v>
      </c>
      <c r="F489" s="8">
        <v>60</v>
      </c>
      <c r="G489" s="8">
        <v>75</v>
      </c>
      <c r="H489" s="8">
        <v>74</v>
      </c>
      <c r="I489">
        <f t="shared" si="21"/>
        <v>209</v>
      </c>
      <c r="J489">
        <f t="shared" si="22"/>
        <v>69.666666666666671</v>
      </c>
      <c r="K489" s="7" t="str">
        <f t="shared" si="23"/>
        <v>pass</v>
      </c>
    </row>
    <row r="490" spans="1:11" x14ac:dyDescent="0.25">
      <c r="A490" t="str">
        <f>PROPER(TRIM('raw data'!A490))</f>
        <v>Male</v>
      </c>
      <c r="B490" t="str">
        <f>PROPER(TRIM('raw data'!B490))</f>
        <v>Group B</v>
      </c>
      <c r="C490" s="7" t="str">
        <f>PROPER(TRIM('raw data'!C490))</f>
        <v>Some High School</v>
      </c>
      <c r="D490" s="7" t="str">
        <f>PROPER(TRIM('raw data'!D490))</f>
        <v>Standard</v>
      </c>
      <c r="E490" s="7" t="str">
        <f>PROPER(TRIM('raw data'!E490))</f>
        <v>Completed</v>
      </c>
      <c r="F490" s="8">
        <v>64</v>
      </c>
      <c r="G490" s="8">
        <v>53</v>
      </c>
      <c r="H490" s="8">
        <v>57</v>
      </c>
      <c r="I490">
        <f t="shared" si="21"/>
        <v>174</v>
      </c>
      <c r="J490">
        <f t="shared" si="22"/>
        <v>58</v>
      </c>
      <c r="K490" s="7" t="str">
        <f t="shared" si="23"/>
        <v>pass</v>
      </c>
    </row>
    <row r="491" spans="1:11" x14ac:dyDescent="0.25">
      <c r="A491" t="str">
        <f>PROPER(TRIM('raw data'!A491))</f>
        <v>Male</v>
      </c>
      <c r="B491" t="str">
        <f>PROPER(TRIM('raw data'!B491))</f>
        <v>Group A</v>
      </c>
      <c r="C491" s="7" t="str">
        <f>PROPER(TRIM('raw data'!C491))</f>
        <v>Associate'S Degree</v>
      </c>
      <c r="D491" s="7" t="str">
        <f>PROPER(TRIM('raw data'!D491))</f>
        <v>Free/Reduced</v>
      </c>
      <c r="E491" s="7" t="str">
        <f>PROPER(TRIM('raw data'!E491))</f>
        <v>Completed</v>
      </c>
      <c r="F491" s="8">
        <v>79</v>
      </c>
      <c r="G491" s="8">
        <v>82</v>
      </c>
      <c r="H491" s="8">
        <v>82</v>
      </c>
      <c r="I491">
        <f t="shared" si="21"/>
        <v>243</v>
      </c>
      <c r="J491">
        <f t="shared" si="22"/>
        <v>81</v>
      </c>
      <c r="K491" s="7" t="str">
        <f t="shared" si="23"/>
        <v>pass</v>
      </c>
    </row>
    <row r="492" spans="1:11" x14ac:dyDescent="0.25">
      <c r="A492" t="str">
        <f>PROPER(TRIM('raw data'!A492))</f>
        <v>Female</v>
      </c>
      <c r="B492" t="str">
        <f>PROPER(TRIM('raw data'!B492))</f>
        <v>Group A</v>
      </c>
      <c r="C492" s="7" t="str">
        <f>PROPER(TRIM('raw data'!C492))</f>
        <v>Associate'S Degree</v>
      </c>
      <c r="D492" s="7" t="str">
        <f>PROPER(TRIM('raw data'!D492))</f>
        <v>Free/Reduced</v>
      </c>
      <c r="E492" s="7" t="str">
        <f>PROPER(TRIM('raw data'!E492))</f>
        <v>None</v>
      </c>
      <c r="F492" s="8">
        <v>65</v>
      </c>
      <c r="G492" s="8">
        <v>85</v>
      </c>
      <c r="H492" s="8">
        <v>76</v>
      </c>
      <c r="I492">
        <f t="shared" si="21"/>
        <v>226</v>
      </c>
      <c r="J492">
        <f t="shared" si="22"/>
        <v>75.333333333333329</v>
      </c>
      <c r="K492" s="7" t="str">
        <f t="shared" si="23"/>
        <v>pass</v>
      </c>
    </row>
    <row r="493" spans="1:11" x14ac:dyDescent="0.25">
      <c r="A493" t="str">
        <f>PROPER(TRIM('raw data'!A493))</f>
        <v>Female</v>
      </c>
      <c r="B493" t="str">
        <f>PROPER(TRIM('raw data'!B493))</f>
        <v>Group C</v>
      </c>
      <c r="C493" s="7" t="str">
        <f>PROPER(TRIM('raw data'!C493))</f>
        <v>Associate'S Degree</v>
      </c>
      <c r="D493" s="7" t="str">
        <f>PROPER(TRIM('raw data'!D493))</f>
        <v>Standard</v>
      </c>
      <c r="E493" s="7" t="str">
        <f>PROPER(TRIM('raw data'!E493))</f>
        <v>None</v>
      </c>
      <c r="F493" s="8">
        <v>64</v>
      </c>
      <c r="G493" s="8">
        <v>64</v>
      </c>
      <c r="H493" s="8">
        <v>70</v>
      </c>
      <c r="I493">
        <f t="shared" si="21"/>
        <v>198</v>
      </c>
      <c r="J493">
        <f t="shared" si="22"/>
        <v>66</v>
      </c>
      <c r="K493" s="7" t="str">
        <f t="shared" si="23"/>
        <v>pass</v>
      </c>
    </row>
    <row r="494" spans="1:11" x14ac:dyDescent="0.25">
      <c r="A494" t="str">
        <f>PROPER(TRIM('raw data'!A494))</f>
        <v>Female</v>
      </c>
      <c r="B494" t="str">
        <f>PROPER(TRIM('raw data'!B494))</f>
        <v>Group C</v>
      </c>
      <c r="C494" s="7" t="str">
        <f>PROPER(TRIM('raw data'!C494))</f>
        <v>Some College</v>
      </c>
      <c r="D494" s="7" t="str">
        <f>PROPER(TRIM('raw data'!D494))</f>
        <v>Standard</v>
      </c>
      <c r="E494" s="7" t="str">
        <f>PROPER(TRIM('raw data'!E494))</f>
        <v>None</v>
      </c>
      <c r="F494" s="8">
        <v>83</v>
      </c>
      <c r="G494" s="8">
        <v>83</v>
      </c>
      <c r="H494" s="8">
        <v>90</v>
      </c>
      <c r="I494">
        <f t="shared" si="21"/>
        <v>256</v>
      </c>
      <c r="J494">
        <f t="shared" si="22"/>
        <v>85.333333333333329</v>
      </c>
      <c r="K494" s="7" t="str">
        <f t="shared" si="23"/>
        <v>pass</v>
      </c>
    </row>
    <row r="495" spans="1:11" x14ac:dyDescent="0.25">
      <c r="A495" t="str">
        <f>PROPER(TRIM('raw data'!A495))</f>
        <v>Female</v>
      </c>
      <c r="B495" t="str">
        <f>PROPER(TRIM('raw data'!B495))</f>
        <v>Group C</v>
      </c>
      <c r="C495" s="7" t="str">
        <f>PROPER(TRIM('raw data'!C495))</f>
        <v>Bachelor'S Degree</v>
      </c>
      <c r="D495" s="7" t="str">
        <f>PROPER(TRIM('raw data'!D495))</f>
        <v>Standard</v>
      </c>
      <c r="E495" s="7" t="str">
        <f>PROPER(TRIM('raw data'!E495))</f>
        <v>None</v>
      </c>
      <c r="F495" s="8">
        <v>81</v>
      </c>
      <c r="G495" s="8">
        <v>88</v>
      </c>
      <c r="H495" s="8">
        <v>90</v>
      </c>
      <c r="I495">
        <f t="shared" si="21"/>
        <v>259</v>
      </c>
      <c r="J495">
        <f t="shared" si="22"/>
        <v>86.333333333333329</v>
      </c>
      <c r="K495" s="7" t="str">
        <f t="shared" si="23"/>
        <v>pass</v>
      </c>
    </row>
    <row r="496" spans="1:11" x14ac:dyDescent="0.25">
      <c r="A496" t="str">
        <f>PROPER(TRIM('raw data'!A496))</f>
        <v>Female</v>
      </c>
      <c r="B496" t="str">
        <f>PROPER(TRIM('raw data'!B496))</f>
        <v>Group B</v>
      </c>
      <c r="C496" s="7" t="str">
        <f>PROPER(TRIM('raw data'!C496))</f>
        <v>High School</v>
      </c>
      <c r="D496" s="7" t="str">
        <f>PROPER(TRIM('raw data'!D496))</f>
        <v>Standard</v>
      </c>
      <c r="E496" s="7" t="str">
        <f>PROPER(TRIM('raw data'!E496))</f>
        <v>None</v>
      </c>
      <c r="F496" s="8">
        <v>54</v>
      </c>
      <c r="G496" s="8">
        <v>64</v>
      </c>
      <c r="H496" s="8">
        <v>68</v>
      </c>
      <c r="I496">
        <f t="shared" si="21"/>
        <v>186</v>
      </c>
      <c r="J496">
        <f t="shared" si="22"/>
        <v>62</v>
      </c>
      <c r="K496" s="7" t="str">
        <f t="shared" si="23"/>
        <v>pass</v>
      </c>
    </row>
    <row r="497" spans="1:11" x14ac:dyDescent="0.25">
      <c r="A497" t="str">
        <f>PROPER(TRIM('raw data'!A497))</f>
        <v>Male</v>
      </c>
      <c r="B497" t="str">
        <f>PROPER(TRIM('raw data'!B497))</f>
        <v>Group D</v>
      </c>
      <c r="C497" s="7" t="str">
        <f>PROPER(TRIM('raw data'!C497))</f>
        <v>High School</v>
      </c>
      <c r="D497" s="7" t="str">
        <f>PROPER(TRIM('raw data'!D497))</f>
        <v>Standard</v>
      </c>
      <c r="E497" s="7" t="str">
        <f>PROPER(TRIM('raw data'!E497))</f>
        <v>Completed</v>
      </c>
      <c r="F497" s="8">
        <v>68</v>
      </c>
      <c r="G497" s="8">
        <v>64</v>
      </c>
      <c r="H497" s="8">
        <v>66</v>
      </c>
      <c r="I497">
        <f t="shared" si="21"/>
        <v>198</v>
      </c>
      <c r="J497">
        <f t="shared" si="22"/>
        <v>66</v>
      </c>
      <c r="K497" s="7" t="str">
        <f t="shared" si="23"/>
        <v>pass</v>
      </c>
    </row>
    <row r="498" spans="1:11" x14ac:dyDescent="0.25">
      <c r="A498" t="str">
        <f>PROPER(TRIM('raw data'!A498))</f>
        <v>Female</v>
      </c>
      <c r="B498" t="str">
        <f>PROPER(TRIM('raw data'!B498))</f>
        <v>Group C</v>
      </c>
      <c r="C498" s="7" t="str">
        <f>PROPER(TRIM('raw data'!C498))</f>
        <v>Some College</v>
      </c>
      <c r="D498" s="7" t="str">
        <f>PROPER(TRIM('raw data'!D498))</f>
        <v>Standard</v>
      </c>
      <c r="E498" s="7" t="str">
        <f>PROPER(TRIM('raw data'!E498))</f>
        <v>None</v>
      </c>
      <c r="F498" s="8">
        <v>54</v>
      </c>
      <c r="G498" s="8">
        <v>48</v>
      </c>
      <c r="H498" s="8">
        <v>52</v>
      </c>
      <c r="I498">
        <f t="shared" si="21"/>
        <v>154</v>
      </c>
      <c r="J498">
        <f t="shared" si="22"/>
        <v>51.333333333333336</v>
      </c>
      <c r="K498" s="7" t="str">
        <f t="shared" si="23"/>
        <v>pass</v>
      </c>
    </row>
    <row r="499" spans="1:11" x14ac:dyDescent="0.25">
      <c r="A499" t="str">
        <f>PROPER(TRIM('raw data'!A499))</f>
        <v>Female</v>
      </c>
      <c r="B499" t="str">
        <f>PROPER(TRIM('raw data'!B499))</f>
        <v>Group D</v>
      </c>
      <c r="C499" s="7" t="str">
        <f>PROPER(TRIM('raw data'!C499))</f>
        <v>Some College</v>
      </c>
      <c r="D499" s="7" t="str">
        <f>PROPER(TRIM('raw data'!D499))</f>
        <v>Free/Reduced</v>
      </c>
      <c r="E499" s="7" t="str">
        <f>PROPER(TRIM('raw data'!E499))</f>
        <v>Completed</v>
      </c>
      <c r="F499" s="8">
        <v>59</v>
      </c>
      <c r="G499" s="8">
        <v>78</v>
      </c>
      <c r="H499" s="8">
        <v>76</v>
      </c>
      <c r="I499">
        <f t="shared" si="21"/>
        <v>213</v>
      </c>
      <c r="J499">
        <f t="shared" si="22"/>
        <v>71</v>
      </c>
      <c r="K499" s="7" t="str">
        <f t="shared" si="23"/>
        <v>pass</v>
      </c>
    </row>
    <row r="500" spans="1:11" x14ac:dyDescent="0.25">
      <c r="A500" t="str">
        <f>PROPER(TRIM('raw data'!A500))</f>
        <v>Female</v>
      </c>
      <c r="B500" t="str">
        <f>PROPER(TRIM('raw data'!B500))</f>
        <v>Group B</v>
      </c>
      <c r="C500" s="7" t="str">
        <f>PROPER(TRIM('raw data'!C500))</f>
        <v>Some High School</v>
      </c>
      <c r="D500" s="7" t="str">
        <f>PROPER(TRIM('raw data'!D500))</f>
        <v>Standard</v>
      </c>
      <c r="E500" s="7" t="str">
        <f>PROPER(TRIM('raw data'!E500))</f>
        <v>None</v>
      </c>
      <c r="F500" s="8">
        <v>66</v>
      </c>
      <c r="G500" s="8">
        <v>69</v>
      </c>
      <c r="H500" s="8">
        <v>68</v>
      </c>
      <c r="I500">
        <f t="shared" si="21"/>
        <v>203</v>
      </c>
      <c r="J500">
        <f t="shared" si="22"/>
        <v>67.666666666666671</v>
      </c>
      <c r="K500" s="7" t="str">
        <f t="shared" si="23"/>
        <v>pass</v>
      </c>
    </row>
    <row r="501" spans="1:11" x14ac:dyDescent="0.25">
      <c r="A501" t="str">
        <f>PROPER(TRIM('raw data'!A501))</f>
        <v>Male</v>
      </c>
      <c r="B501" t="str">
        <f>PROPER(TRIM('raw data'!B501))</f>
        <v>Group E</v>
      </c>
      <c r="C501" s="7" t="str">
        <f>PROPER(TRIM('raw data'!C501))</f>
        <v>Some College</v>
      </c>
      <c r="D501" s="7" t="str">
        <f>PROPER(TRIM('raw data'!D501))</f>
        <v>Standard</v>
      </c>
      <c r="E501" s="7" t="str">
        <f>PROPER(TRIM('raw data'!E501))</f>
        <v>None</v>
      </c>
      <c r="F501" s="8">
        <v>76</v>
      </c>
      <c r="G501" s="8">
        <v>71</v>
      </c>
      <c r="H501" s="8">
        <v>72</v>
      </c>
      <c r="I501">
        <f t="shared" si="21"/>
        <v>219</v>
      </c>
      <c r="J501">
        <f t="shared" si="22"/>
        <v>73</v>
      </c>
      <c r="K501" s="7" t="str">
        <f t="shared" si="23"/>
        <v>pass</v>
      </c>
    </row>
    <row r="502" spans="1:11" x14ac:dyDescent="0.25">
      <c r="A502" t="str">
        <f>PROPER(TRIM('raw data'!A502))</f>
        <v>Female</v>
      </c>
      <c r="B502" t="str">
        <f>PROPER(TRIM('raw data'!B502))</f>
        <v>Group D</v>
      </c>
      <c r="C502" s="7" t="str">
        <f>PROPER(TRIM('raw data'!C502))</f>
        <v>Master'S Degree</v>
      </c>
      <c r="D502" s="7" t="str">
        <f>PROPER(TRIM('raw data'!D502))</f>
        <v>Standard</v>
      </c>
      <c r="E502" s="7" t="str">
        <f>PROPER(TRIM('raw data'!E502))</f>
        <v>None</v>
      </c>
      <c r="F502" s="8">
        <v>74</v>
      </c>
      <c r="G502" s="8">
        <v>79</v>
      </c>
      <c r="H502" s="8">
        <v>82</v>
      </c>
      <c r="I502">
        <f t="shared" si="21"/>
        <v>235</v>
      </c>
      <c r="J502">
        <f t="shared" si="22"/>
        <v>78.333333333333329</v>
      </c>
      <c r="K502" s="7" t="str">
        <f t="shared" si="23"/>
        <v>pass</v>
      </c>
    </row>
    <row r="503" spans="1:11" x14ac:dyDescent="0.25">
      <c r="A503" t="str">
        <f>PROPER(TRIM('raw data'!A503))</f>
        <v>Female</v>
      </c>
      <c r="B503" t="str">
        <f>PROPER(TRIM('raw data'!B503))</f>
        <v>Group B</v>
      </c>
      <c r="C503" s="7" t="str">
        <f>PROPER(TRIM('raw data'!C503))</f>
        <v>Associate'S Degree</v>
      </c>
      <c r="D503" s="7" t="str">
        <f>PROPER(TRIM('raw data'!D503))</f>
        <v>Standard</v>
      </c>
      <c r="E503" s="7" t="str">
        <f>PROPER(TRIM('raw data'!E503))</f>
        <v>Completed</v>
      </c>
      <c r="F503" s="8">
        <v>94</v>
      </c>
      <c r="G503" s="8">
        <v>87</v>
      </c>
      <c r="H503" s="8">
        <v>92</v>
      </c>
      <c r="I503">
        <f t="shared" si="21"/>
        <v>273</v>
      </c>
      <c r="J503">
        <f t="shared" si="22"/>
        <v>91</v>
      </c>
      <c r="K503" s="7" t="str">
        <f t="shared" si="23"/>
        <v>pass</v>
      </c>
    </row>
    <row r="504" spans="1:11" x14ac:dyDescent="0.25">
      <c r="A504" t="str">
        <f>PROPER(TRIM('raw data'!A504))</f>
        <v>Male</v>
      </c>
      <c r="B504" t="str">
        <f>PROPER(TRIM('raw data'!B504))</f>
        <v>Group C</v>
      </c>
      <c r="C504" s="7" t="str">
        <f>PROPER(TRIM('raw data'!C504))</f>
        <v>Some College</v>
      </c>
      <c r="D504" s="7" t="str">
        <f>PROPER(TRIM('raw data'!D504))</f>
        <v>Free/Reduced</v>
      </c>
      <c r="E504" s="7" t="str">
        <f>PROPER(TRIM('raw data'!E504))</f>
        <v>None</v>
      </c>
      <c r="F504" s="8">
        <v>63</v>
      </c>
      <c r="G504" s="8">
        <v>61</v>
      </c>
      <c r="H504" s="8">
        <v>54</v>
      </c>
      <c r="I504">
        <f t="shared" si="21"/>
        <v>178</v>
      </c>
      <c r="J504">
        <f t="shared" si="22"/>
        <v>59.333333333333336</v>
      </c>
      <c r="K504" s="7" t="str">
        <f t="shared" si="23"/>
        <v>pass</v>
      </c>
    </row>
    <row r="505" spans="1:11" x14ac:dyDescent="0.25">
      <c r="A505" t="str">
        <f>PROPER(TRIM('raw data'!A505))</f>
        <v>Female</v>
      </c>
      <c r="B505" t="str">
        <f>PROPER(TRIM('raw data'!B505))</f>
        <v>Group E</v>
      </c>
      <c r="C505" s="7" t="str">
        <f>PROPER(TRIM('raw data'!C505))</f>
        <v>Associate'S Degree</v>
      </c>
      <c r="D505" s="7" t="str">
        <f>PROPER(TRIM('raw data'!D505))</f>
        <v>Standard</v>
      </c>
      <c r="E505" s="7" t="str">
        <f>PROPER(TRIM('raw data'!E505))</f>
        <v>Completed</v>
      </c>
      <c r="F505" s="8">
        <v>95</v>
      </c>
      <c r="G505" s="8">
        <v>89</v>
      </c>
      <c r="H505" s="8">
        <v>92</v>
      </c>
      <c r="I505">
        <f t="shared" si="21"/>
        <v>276</v>
      </c>
      <c r="J505">
        <f t="shared" si="22"/>
        <v>92</v>
      </c>
      <c r="K505" s="7" t="str">
        <f t="shared" si="23"/>
        <v>pass</v>
      </c>
    </row>
    <row r="506" spans="1:11" x14ac:dyDescent="0.25">
      <c r="A506" t="str">
        <f>PROPER(TRIM('raw data'!A506))</f>
        <v>Female</v>
      </c>
      <c r="B506" t="str">
        <f>PROPER(TRIM('raw data'!B506))</f>
        <v>Group D</v>
      </c>
      <c r="C506" s="7" t="str">
        <f>PROPER(TRIM('raw data'!C506))</f>
        <v>Master'S Degree</v>
      </c>
      <c r="D506" s="7" t="str">
        <f>PROPER(TRIM('raw data'!D506))</f>
        <v>Free/Reduced</v>
      </c>
      <c r="E506" s="7" t="str">
        <f>PROPER(TRIM('raw data'!E506))</f>
        <v>None</v>
      </c>
      <c r="F506" s="8">
        <v>40</v>
      </c>
      <c r="G506" s="8">
        <v>59</v>
      </c>
      <c r="H506" s="8">
        <v>54</v>
      </c>
      <c r="I506">
        <f t="shared" si="21"/>
        <v>153</v>
      </c>
      <c r="J506">
        <f t="shared" si="22"/>
        <v>51</v>
      </c>
      <c r="K506" s="7" t="str">
        <f t="shared" si="23"/>
        <v>pass</v>
      </c>
    </row>
    <row r="507" spans="1:11" x14ac:dyDescent="0.25">
      <c r="A507" t="str">
        <f>PROPER(TRIM('raw data'!A507))</f>
        <v>Female</v>
      </c>
      <c r="B507" t="str">
        <f>PROPER(TRIM('raw data'!B507))</f>
        <v>Group B</v>
      </c>
      <c r="C507" s="7" t="str">
        <f>PROPER(TRIM('raw data'!C507))</f>
        <v>Some High School</v>
      </c>
      <c r="D507" s="7" t="str">
        <f>PROPER(TRIM('raw data'!D507))</f>
        <v>Standard</v>
      </c>
      <c r="E507" s="7" t="str">
        <f>PROPER(TRIM('raw data'!E507))</f>
        <v>None</v>
      </c>
      <c r="F507" s="8">
        <v>82</v>
      </c>
      <c r="G507" s="8">
        <v>82</v>
      </c>
      <c r="H507" s="8">
        <v>80</v>
      </c>
      <c r="I507">
        <f t="shared" si="21"/>
        <v>244</v>
      </c>
      <c r="J507">
        <f t="shared" si="22"/>
        <v>81.333333333333329</v>
      </c>
      <c r="K507" s="7" t="str">
        <f t="shared" si="23"/>
        <v>pass</v>
      </c>
    </row>
    <row r="508" spans="1:11" x14ac:dyDescent="0.25">
      <c r="A508" t="str">
        <f>PROPER(TRIM('raw data'!A508))</f>
        <v>Male</v>
      </c>
      <c r="B508" t="str">
        <f>PROPER(TRIM('raw data'!B508))</f>
        <v>Group A</v>
      </c>
      <c r="C508" s="7" t="str">
        <f>PROPER(TRIM('raw data'!C508))</f>
        <v>High School</v>
      </c>
      <c r="D508" s="7" t="str">
        <f>PROPER(TRIM('raw data'!D508))</f>
        <v>Standard</v>
      </c>
      <c r="E508" s="7" t="str">
        <f>PROPER(TRIM('raw data'!E508))</f>
        <v>None</v>
      </c>
      <c r="F508" s="8">
        <v>68</v>
      </c>
      <c r="G508" s="8">
        <v>70</v>
      </c>
      <c r="H508" s="8">
        <v>66</v>
      </c>
      <c r="I508">
        <f t="shared" si="21"/>
        <v>204</v>
      </c>
      <c r="J508">
        <f t="shared" si="22"/>
        <v>68</v>
      </c>
      <c r="K508" s="7" t="str">
        <f t="shared" si="23"/>
        <v>pass</v>
      </c>
    </row>
    <row r="509" spans="1:11" x14ac:dyDescent="0.25">
      <c r="A509" t="str">
        <f>PROPER(TRIM('raw data'!A509))</f>
        <v>Male</v>
      </c>
      <c r="B509" t="str">
        <f>PROPER(TRIM('raw data'!B509))</f>
        <v>Group B</v>
      </c>
      <c r="C509" s="7" t="str">
        <f>PROPER(TRIM('raw data'!C509))</f>
        <v>Bachelor'S Degree</v>
      </c>
      <c r="D509" s="7" t="str">
        <f>PROPER(TRIM('raw data'!D509))</f>
        <v>Free/Reduced</v>
      </c>
      <c r="E509" s="7" t="str">
        <f>PROPER(TRIM('raw data'!E509))</f>
        <v>None</v>
      </c>
      <c r="F509" s="8">
        <v>55</v>
      </c>
      <c r="G509" s="8">
        <v>59</v>
      </c>
      <c r="H509" s="8">
        <v>54</v>
      </c>
      <c r="I509">
        <f t="shared" si="21"/>
        <v>168</v>
      </c>
      <c r="J509">
        <f t="shared" si="22"/>
        <v>56</v>
      </c>
      <c r="K509" s="7" t="str">
        <f t="shared" si="23"/>
        <v>pass</v>
      </c>
    </row>
    <row r="510" spans="1:11" x14ac:dyDescent="0.25">
      <c r="A510" t="str">
        <f>PROPER(TRIM('raw data'!A510))</f>
        <v>Male</v>
      </c>
      <c r="B510" t="str">
        <f>PROPER(TRIM('raw data'!B510))</f>
        <v>Group C</v>
      </c>
      <c r="C510" s="7" t="str">
        <f>PROPER(TRIM('raw data'!C510))</f>
        <v>Master'S Degree</v>
      </c>
      <c r="D510" s="7" t="str">
        <f>PROPER(TRIM('raw data'!D510))</f>
        <v>Standard</v>
      </c>
      <c r="E510" s="7" t="str">
        <f>PROPER(TRIM('raw data'!E510))</f>
        <v>None</v>
      </c>
      <c r="F510" s="8">
        <v>79</v>
      </c>
      <c r="G510" s="8">
        <v>78</v>
      </c>
      <c r="H510" s="8">
        <v>77</v>
      </c>
      <c r="I510">
        <f t="shared" si="21"/>
        <v>234</v>
      </c>
      <c r="J510">
        <f t="shared" si="22"/>
        <v>78</v>
      </c>
      <c r="K510" s="7" t="str">
        <f t="shared" si="23"/>
        <v>pass</v>
      </c>
    </row>
    <row r="511" spans="1:11" x14ac:dyDescent="0.25">
      <c r="A511" t="str">
        <f>PROPER(TRIM('raw data'!A511))</f>
        <v>Female</v>
      </c>
      <c r="B511" t="str">
        <f>PROPER(TRIM('raw data'!B511))</f>
        <v>Group C</v>
      </c>
      <c r="C511" s="7" t="str">
        <f>PROPER(TRIM('raw data'!C511))</f>
        <v>Bachelor'S Degree</v>
      </c>
      <c r="D511" s="7" t="str">
        <f>PROPER(TRIM('raw data'!D511))</f>
        <v>Standard</v>
      </c>
      <c r="E511" s="7" t="str">
        <f>PROPER(TRIM('raw data'!E511))</f>
        <v>None</v>
      </c>
      <c r="F511" s="8">
        <v>86</v>
      </c>
      <c r="G511" s="8">
        <v>92</v>
      </c>
      <c r="H511" s="8">
        <v>87</v>
      </c>
      <c r="I511">
        <f t="shared" si="21"/>
        <v>265</v>
      </c>
      <c r="J511">
        <f t="shared" si="22"/>
        <v>88.333333333333329</v>
      </c>
      <c r="K511" s="7" t="str">
        <f t="shared" si="23"/>
        <v>pass</v>
      </c>
    </row>
    <row r="512" spans="1:11" x14ac:dyDescent="0.25">
      <c r="A512" t="str">
        <f>PROPER(TRIM('raw data'!A512))</f>
        <v>Male</v>
      </c>
      <c r="B512" t="str">
        <f>PROPER(TRIM('raw data'!B512))</f>
        <v>Group D</v>
      </c>
      <c r="C512" s="7" t="str">
        <f>PROPER(TRIM('raw data'!C512))</f>
        <v>Some College</v>
      </c>
      <c r="D512" s="7" t="str">
        <f>PROPER(TRIM('raw data'!D512))</f>
        <v>Standard</v>
      </c>
      <c r="E512" s="7" t="str">
        <f>PROPER(TRIM('raw data'!E512))</f>
        <v>None</v>
      </c>
      <c r="F512" s="8">
        <v>76</v>
      </c>
      <c r="G512" s="8">
        <v>71</v>
      </c>
      <c r="H512" s="8">
        <v>73</v>
      </c>
      <c r="I512">
        <f t="shared" si="21"/>
        <v>220</v>
      </c>
      <c r="J512">
        <f t="shared" si="22"/>
        <v>73.333333333333329</v>
      </c>
      <c r="K512" s="7" t="str">
        <f t="shared" si="23"/>
        <v>pass</v>
      </c>
    </row>
    <row r="513" spans="1:11" x14ac:dyDescent="0.25">
      <c r="A513" t="str">
        <f>PROPER(TRIM('raw data'!A513))</f>
        <v>Male</v>
      </c>
      <c r="B513" t="str">
        <f>PROPER(TRIM('raw data'!B513))</f>
        <v>Group A</v>
      </c>
      <c r="C513" s="7" t="str">
        <f>PROPER(TRIM('raw data'!C513))</f>
        <v>Some High School</v>
      </c>
      <c r="D513" s="7" t="str">
        <f>PROPER(TRIM('raw data'!D513))</f>
        <v>Standard</v>
      </c>
      <c r="E513" s="7" t="str">
        <f>PROPER(TRIM('raw data'!E513))</f>
        <v>None</v>
      </c>
      <c r="F513" s="8">
        <v>64</v>
      </c>
      <c r="G513" s="8">
        <v>50</v>
      </c>
      <c r="H513" s="8">
        <v>43</v>
      </c>
      <c r="I513">
        <f t="shared" si="21"/>
        <v>157</v>
      </c>
      <c r="J513">
        <f t="shared" si="22"/>
        <v>52.333333333333336</v>
      </c>
      <c r="K513" s="7" t="str">
        <f t="shared" si="23"/>
        <v>pass</v>
      </c>
    </row>
    <row r="514" spans="1:11" x14ac:dyDescent="0.25">
      <c r="A514" t="str">
        <f>PROPER(TRIM('raw data'!A514))</f>
        <v>Male</v>
      </c>
      <c r="B514" t="str">
        <f>PROPER(TRIM('raw data'!B514))</f>
        <v>Group D</v>
      </c>
      <c r="C514" s="7" t="str">
        <f>PROPER(TRIM('raw data'!C514))</f>
        <v>Some High School</v>
      </c>
      <c r="D514" s="7" t="str">
        <f>PROPER(TRIM('raw data'!D514))</f>
        <v>Free/Reduced</v>
      </c>
      <c r="E514" s="7" t="str">
        <f>PROPER(TRIM('raw data'!E514))</f>
        <v>None</v>
      </c>
      <c r="F514" s="8">
        <v>62</v>
      </c>
      <c r="G514" s="8">
        <v>49</v>
      </c>
      <c r="H514" s="8">
        <v>52</v>
      </c>
      <c r="I514">
        <f t="shared" si="21"/>
        <v>163</v>
      </c>
      <c r="J514">
        <f t="shared" si="22"/>
        <v>54.333333333333336</v>
      </c>
      <c r="K514" s="7" t="str">
        <f t="shared" si="23"/>
        <v>pass</v>
      </c>
    </row>
    <row r="515" spans="1:11" x14ac:dyDescent="0.25">
      <c r="A515" t="str">
        <f>PROPER(TRIM('raw data'!A515))</f>
        <v>Female</v>
      </c>
      <c r="B515" t="str">
        <f>PROPER(TRIM('raw data'!B515))</f>
        <v>Group B</v>
      </c>
      <c r="C515" s="7" t="str">
        <f>PROPER(TRIM('raw data'!C515))</f>
        <v>Some High School</v>
      </c>
      <c r="D515" s="7" t="str">
        <f>PROPER(TRIM('raw data'!D515))</f>
        <v>Standard</v>
      </c>
      <c r="E515" s="7" t="str">
        <f>PROPER(TRIM('raw data'!E515))</f>
        <v>Completed</v>
      </c>
      <c r="F515" s="8">
        <v>54</v>
      </c>
      <c r="G515" s="8">
        <v>61</v>
      </c>
      <c r="H515" s="8">
        <v>62</v>
      </c>
      <c r="I515">
        <f t="shared" ref="I515:I578" si="24">F515+G515+H515</f>
        <v>177</v>
      </c>
      <c r="J515">
        <f t="shared" ref="J515:J578" si="25">I515/3</f>
        <v>59</v>
      </c>
      <c r="K515" s="7" t="str">
        <f t="shared" ref="K515:K578" si="26">IF(J515&gt;=40,"pass","fail")</f>
        <v>pass</v>
      </c>
    </row>
    <row r="516" spans="1:11" x14ac:dyDescent="0.25">
      <c r="A516" t="str">
        <f>PROPER(TRIM('raw data'!A516))</f>
        <v>Female</v>
      </c>
      <c r="B516" t="str">
        <f>PROPER(TRIM('raw data'!B516))</f>
        <v>Group B</v>
      </c>
      <c r="C516" s="7" t="str">
        <f>PROPER(TRIM('raw data'!C516))</f>
        <v>Master'S Degree</v>
      </c>
      <c r="D516" s="7" t="str">
        <f>PROPER(TRIM('raw data'!D516))</f>
        <v>Free/Reduced</v>
      </c>
      <c r="E516" s="7" t="str">
        <f>PROPER(TRIM('raw data'!E516))</f>
        <v>Completed</v>
      </c>
      <c r="F516" s="8">
        <v>77</v>
      </c>
      <c r="G516" s="8">
        <v>97</v>
      </c>
      <c r="H516" s="8">
        <v>94</v>
      </c>
      <c r="I516">
        <f t="shared" si="24"/>
        <v>268</v>
      </c>
      <c r="J516">
        <f t="shared" si="25"/>
        <v>89.333333333333329</v>
      </c>
      <c r="K516" s="7" t="str">
        <f t="shared" si="26"/>
        <v>pass</v>
      </c>
    </row>
    <row r="517" spans="1:11" x14ac:dyDescent="0.25">
      <c r="A517" t="str">
        <f>PROPER(TRIM('raw data'!A517))</f>
        <v>Female</v>
      </c>
      <c r="B517" t="str">
        <f>PROPER(TRIM('raw data'!B517))</f>
        <v>Group C</v>
      </c>
      <c r="C517" s="7" t="str">
        <f>PROPER(TRIM('raw data'!C517))</f>
        <v>Some High School</v>
      </c>
      <c r="D517" s="7" t="str">
        <f>PROPER(TRIM('raw data'!D517))</f>
        <v>Standard</v>
      </c>
      <c r="E517" s="7" t="str">
        <f>PROPER(TRIM('raw data'!E517))</f>
        <v>Completed</v>
      </c>
      <c r="F517" s="8">
        <v>76</v>
      </c>
      <c r="G517" s="8">
        <v>87</v>
      </c>
      <c r="H517" s="8">
        <v>85</v>
      </c>
      <c r="I517">
        <f t="shared" si="24"/>
        <v>248</v>
      </c>
      <c r="J517">
        <f t="shared" si="25"/>
        <v>82.666666666666671</v>
      </c>
      <c r="K517" s="7" t="str">
        <f t="shared" si="26"/>
        <v>pass</v>
      </c>
    </row>
    <row r="518" spans="1:11" x14ac:dyDescent="0.25">
      <c r="A518" t="str">
        <f>PROPER(TRIM('raw data'!A518))</f>
        <v>Female</v>
      </c>
      <c r="B518" t="str">
        <f>PROPER(TRIM('raw data'!B518))</f>
        <v>Group D</v>
      </c>
      <c r="C518" s="7" t="str">
        <f>PROPER(TRIM('raw data'!C518))</f>
        <v>Some College</v>
      </c>
      <c r="D518" s="7" t="str">
        <f>PROPER(TRIM('raw data'!D518))</f>
        <v>Standard</v>
      </c>
      <c r="E518" s="7" t="str">
        <f>PROPER(TRIM('raw data'!E518))</f>
        <v>None</v>
      </c>
      <c r="F518" s="8">
        <v>74</v>
      </c>
      <c r="G518" s="8">
        <v>89</v>
      </c>
      <c r="H518" s="8">
        <v>84</v>
      </c>
      <c r="I518">
        <f t="shared" si="24"/>
        <v>247</v>
      </c>
      <c r="J518">
        <f t="shared" si="25"/>
        <v>82.333333333333329</v>
      </c>
      <c r="K518" s="7" t="str">
        <f t="shared" si="26"/>
        <v>pass</v>
      </c>
    </row>
    <row r="519" spans="1:11" x14ac:dyDescent="0.25">
      <c r="A519" t="str">
        <f>PROPER(TRIM('raw data'!A519))</f>
        <v>Female</v>
      </c>
      <c r="B519" t="str">
        <f>PROPER(TRIM('raw data'!B519))</f>
        <v>Group E</v>
      </c>
      <c r="C519" s="7" t="str">
        <f>PROPER(TRIM('raw data'!C519))</f>
        <v>Some College</v>
      </c>
      <c r="D519" s="7" t="str">
        <f>PROPER(TRIM('raw data'!D519))</f>
        <v>Standard</v>
      </c>
      <c r="E519" s="7" t="str">
        <f>PROPER(TRIM('raw data'!E519))</f>
        <v>Completed</v>
      </c>
      <c r="F519" s="8">
        <v>66</v>
      </c>
      <c r="G519" s="8">
        <v>74</v>
      </c>
      <c r="H519" s="8">
        <v>73</v>
      </c>
      <c r="I519">
        <f t="shared" si="24"/>
        <v>213</v>
      </c>
      <c r="J519">
        <f t="shared" si="25"/>
        <v>71</v>
      </c>
      <c r="K519" s="7" t="str">
        <f t="shared" si="26"/>
        <v>pass</v>
      </c>
    </row>
    <row r="520" spans="1:11" x14ac:dyDescent="0.25">
      <c r="A520" t="str">
        <f>PROPER(TRIM('raw data'!A520))</f>
        <v>Female</v>
      </c>
      <c r="B520" t="str">
        <f>PROPER(TRIM('raw data'!B520))</f>
        <v>Group D</v>
      </c>
      <c r="C520" s="7" t="str">
        <f>PROPER(TRIM('raw data'!C520))</f>
        <v>Some High School</v>
      </c>
      <c r="D520" s="7" t="str">
        <f>PROPER(TRIM('raw data'!D520))</f>
        <v>Standard</v>
      </c>
      <c r="E520" s="7" t="str">
        <f>PROPER(TRIM('raw data'!E520))</f>
        <v>Completed</v>
      </c>
      <c r="F520" s="8">
        <v>66</v>
      </c>
      <c r="G520" s="8">
        <v>78</v>
      </c>
      <c r="H520" s="8">
        <v>78</v>
      </c>
      <c r="I520">
        <f t="shared" si="24"/>
        <v>222</v>
      </c>
      <c r="J520">
        <f t="shared" si="25"/>
        <v>74</v>
      </c>
      <c r="K520" s="7" t="str">
        <f t="shared" si="26"/>
        <v>pass</v>
      </c>
    </row>
    <row r="521" spans="1:11" x14ac:dyDescent="0.25">
      <c r="A521" t="str">
        <f>PROPER(TRIM('raw data'!A521))</f>
        <v>Female</v>
      </c>
      <c r="B521" t="str">
        <f>PROPER(TRIM('raw data'!B521))</f>
        <v>Group B</v>
      </c>
      <c r="C521" s="7" t="str">
        <f>PROPER(TRIM('raw data'!C521))</f>
        <v>High School</v>
      </c>
      <c r="D521" s="7" t="str">
        <f>PROPER(TRIM('raw data'!D521))</f>
        <v>Free/Reduced</v>
      </c>
      <c r="E521" s="7" t="str">
        <f>PROPER(TRIM('raw data'!E521))</f>
        <v>Completed</v>
      </c>
      <c r="F521" s="8">
        <v>67</v>
      </c>
      <c r="G521" s="8">
        <v>78</v>
      </c>
      <c r="H521" s="8">
        <v>79</v>
      </c>
      <c r="I521">
        <f t="shared" si="24"/>
        <v>224</v>
      </c>
      <c r="J521">
        <f t="shared" si="25"/>
        <v>74.666666666666671</v>
      </c>
      <c r="K521" s="7" t="str">
        <f t="shared" si="26"/>
        <v>pass</v>
      </c>
    </row>
    <row r="522" spans="1:11" x14ac:dyDescent="0.25">
      <c r="A522" t="str">
        <f>PROPER(TRIM('raw data'!A522))</f>
        <v>Male</v>
      </c>
      <c r="B522" t="str">
        <f>PROPER(TRIM('raw data'!B522))</f>
        <v>Group D</v>
      </c>
      <c r="C522" s="7" t="str">
        <f>PROPER(TRIM('raw data'!C522))</f>
        <v>Some College</v>
      </c>
      <c r="D522" s="7" t="str">
        <f>PROPER(TRIM('raw data'!D522))</f>
        <v>Standard</v>
      </c>
      <c r="E522" s="7" t="str">
        <f>PROPER(TRIM('raw data'!E522))</f>
        <v>None</v>
      </c>
      <c r="F522" s="8">
        <v>71</v>
      </c>
      <c r="G522" s="8">
        <v>49</v>
      </c>
      <c r="H522" s="8">
        <v>52</v>
      </c>
      <c r="I522">
        <f t="shared" si="24"/>
        <v>172</v>
      </c>
      <c r="J522">
        <f t="shared" si="25"/>
        <v>57.333333333333336</v>
      </c>
      <c r="K522" s="7" t="str">
        <f t="shared" si="26"/>
        <v>pass</v>
      </c>
    </row>
    <row r="523" spans="1:11" x14ac:dyDescent="0.25">
      <c r="A523" t="str">
        <f>PROPER(TRIM('raw data'!A523))</f>
        <v>Female</v>
      </c>
      <c r="B523" t="str">
        <f>PROPER(TRIM('raw data'!B523))</f>
        <v>Group C</v>
      </c>
      <c r="C523" s="7" t="str">
        <f>PROPER(TRIM('raw data'!C523))</f>
        <v>Associate'S Degree</v>
      </c>
      <c r="D523" s="7" t="str">
        <f>PROPER(TRIM('raw data'!D523))</f>
        <v>Standard</v>
      </c>
      <c r="E523" s="7" t="str">
        <f>PROPER(TRIM('raw data'!E523))</f>
        <v>None</v>
      </c>
      <c r="F523" s="8">
        <v>91</v>
      </c>
      <c r="G523" s="8">
        <v>86</v>
      </c>
      <c r="H523" s="8">
        <v>84</v>
      </c>
      <c r="I523">
        <f t="shared" si="24"/>
        <v>261</v>
      </c>
      <c r="J523">
        <f t="shared" si="25"/>
        <v>87</v>
      </c>
      <c r="K523" s="7" t="str">
        <f t="shared" si="26"/>
        <v>pass</v>
      </c>
    </row>
    <row r="524" spans="1:11" x14ac:dyDescent="0.25">
      <c r="A524" t="str">
        <f>PROPER(TRIM('raw data'!A524))</f>
        <v>Male</v>
      </c>
      <c r="B524" t="str">
        <f>PROPER(TRIM('raw data'!B524))</f>
        <v>Group D</v>
      </c>
      <c r="C524" s="7" t="str">
        <f>PROPER(TRIM('raw data'!C524))</f>
        <v>Bachelor'S Degree</v>
      </c>
      <c r="D524" s="7" t="str">
        <f>PROPER(TRIM('raw data'!D524))</f>
        <v>Standard</v>
      </c>
      <c r="E524" s="7" t="str">
        <f>PROPER(TRIM('raw data'!E524))</f>
        <v>None</v>
      </c>
      <c r="F524" s="8">
        <v>69</v>
      </c>
      <c r="G524" s="8">
        <v>58</v>
      </c>
      <c r="H524" s="8">
        <v>57</v>
      </c>
      <c r="I524">
        <f t="shared" si="24"/>
        <v>184</v>
      </c>
      <c r="J524">
        <f t="shared" si="25"/>
        <v>61.333333333333336</v>
      </c>
      <c r="K524" s="7" t="str">
        <f t="shared" si="26"/>
        <v>pass</v>
      </c>
    </row>
    <row r="525" spans="1:11" x14ac:dyDescent="0.25">
      <c r="A525" t="str">
        <f>PROPER(TRIM('raw data'!A525))</f>
        <v>Male</v>
      </c>
      <c r="B525" t="str">
        <f>PROPER(TRIM('raw data'!B525))</f>
        <v>Group C</v>
      </c>
      <c r="C525" s="7" t="str">
        <f>PROPER(TRIM('raw data'!C525))</f>
        <v>Master'S Degree</v>
      </c>
      <c r="D525" s="7" t="str">
        <f>PROPER(TRIM('raw data'!D525))</f>
        <v>Free/Reduced</v>
      </c>
      <c r="E525" s="7" t="str">
        <f>PROPER(TRIM('raw data'!E525))</f>
        <v>None</v>
      </c>
      <c r="F525" s="8">
        <v>54</v>
      </c>
      <c r="G525" s="8">
        <v>59</v>
      </c>
      <c r="H525" s="8">
        <v>50</v>
      </c>
      <c r="I525">
        <f t="shared" si="24"/>
        <v>163</v>
      </c>
      <c r="J525">
        <f t="shared" si="25"/>
        <v>54.333333333333336</v>
      </c>
      <c r="K525" s="7" t="str">
        <f t="shared" si="26"/>
        <v>pass</v>
      </c>
    </row>
    <row r="526" spans="1:11" x14ac:dyDescent="0.25">
      <c r="A526" t="str">
        <f>PROPER(TRIM('raw data'!A526))</f>
        <v>Male</v>
      </c>
      <c r="B526" t="str">
        <f>PROPER(TRIM('raw data'!B526))</f>
        <v>Group C</v>
      </c>
      <c r="C526" s="7" t="str">
        <f>PROPER(TRIM('raw data'!C526))</f>
        <v>High School</v>
      </c>
      <c r="D526" s="7" t="str">
        <f>PROPER(TRIM('raw data'!D526))</f>
        <v>Standard</v>
      </c>
      <c r="E526" s="7" t="str">
        <f>PROPER(TRIM('raw data'!E526))</f>
        <v>Completed</v>
      </c>
      <c r="F526" s="8">
        <v>53</v>
      </c>
      <c r="G526" s="8">
        <v>52</v>
      </c>
      <c r="H526" s="8">
        <v>49</v>
      </c>
      <c r="I526">
        <f t="shared" si="24"/>
        <v>154</v>
      </c>
      <c r="J526">
        <f t="shared" si="25"/>
        <v>51.333333333333336</v>
      </c>
      <c r="K526" s="7" t="str">
        <f t="shared" si="26"/>
        <v>pass</v>
      </c>
    </row>
    <row r="527" spans="1:11" x14ac:dyDescent="0.25">
      <c r="A527" t="str">
        <f>PROPER(TRIM('raw data'!A527))</f>
        <v>Male</v>
      </c>
      <c r="B527" t="str">
        <f>PROPER(TRIM('raw data'!B527))</f>
        <v>Group E</v>
      </c>
      <c r="C527" s="7" t="str">
        <f>PROPER(TRIM('raw data'!C527))</f>
        <v>Some College</v>
      </c>
      <c r="D527" s="7" t="str">
        <f>PROPER(TRIM('raw data'!D527))</f>
        <v>Standard</v>
      </c>
      <c r="E527" s="7" t="str">
        <f>PROPER(TRIM('raw data'!E527))</f>
        <v>None</v>
      </c>
      <c r="F527" s="8">
        <v>68</v>
      </c>
      <c r="G527" s="8">
        <v>60</v>
      </c>
      <c r="H527" s="8">
        <v>59</v>
      </c>
      <c r="I527">
        <f t="shared" si="24"/>
        <v>187</v>
      </c>
      <c r="J527">
        <f t="shared" si="25"/>
        <v>62.333333333333336</v>
      </c>
      <c r="K527" s="7" t="str">
        <f t="shared" si="26"/>
        <v>pass</v>
      </c>
    </row>
    <row r="528" spans="1:11" x14ac:dyDescent="0.25">
      <c r="A528" t="str">
        <f>PROPER(TRIM('raw data'!A528))</f>
        <v>Male</v>
      </c>
      <c r="B528" t="str">
        <f>PROPER(TRIM('raw data'!B528))</f>
        <v>Group C</v>
      </c>
      <c r="C528" s="7" t="str">
        <f>PROPER(TRIM('raw data'!C528))</f>
        <v>Some High School</v>
      </c>
      <c r="D528" s="7" t="str">
        <f>PROPER(TRIM('raw data'!D528))</f>
        <v>Free/Reduced</v>
      </c>
      <c r="E528" s="7" t="str">
        <f>PROPER(TRIM('raw data'!E528))</f>
        <v>Completed</v>
      </c>
      <c r="F528" s="8">
        <v>56</v>
      </c>
      <c r="G528" s="8">
        <v>61</v>
      </c>
      <c r="H528" s="8">
        <v>60</v>
      </c>
      <c r="I528">
        <f t="shared" si="24"/>
        <v>177</v>
      </c>
      <c r="J528">
        <f t="shared" si="25"/>
        <v>59</v>
      </c>
      <c r="K528" s="7" t="str">
        <f t="shared" si="26"/>
        <v>pass</v>
      </c>
    </row>
    <row r="529" spans="1:11" x14ac:dyDescent="0.25">
      <c r="A529" t="str">
        <f>PROPER(TRIM('raw data'!A529))</f>
        <v>Female</v>
      </c>
      <c r="B529" t="str">
        <f>PROPER(TRIM('raw data'!B529))</f>
        <v>Group C</v>
      </c>
      <c r="C529" s="7" t="str">
        <f>PROPER(TRIM('raw data'!C529))</f>
        <v>High School</v>
      </c>
      <c r="D529" s="7" t="str">
        <f>PROPER(TRIM('raw data'!D529))</f>
        <v>Free/Reduced</v>
      </c>
      <c r="E529" s="7" t="str">
        <f>PROPER(TRIM('raw data'!E529))</f>
        <v>None</v>
      </c>
      <c r="F529" s="8">
        <v>36</v>
      </c>
      <c r="G529" s="8">
        <v>53</v>
      </c>
      <c r="H529" s="8">
        <v>43</v>
      </c>
      <c r="I529">
        <f t="shared" si="24"/>
        <v>132</v>
      </c>
      <c r="J529">
        <f t="shared" si="25"/>
        <v>44</v>
      </c>
      <c r="K529" s="7" t="str">
        <f t="shared" si="26"/>
        <v>pass</v>
      </c>
    </row>
    <row r="530" spans="1:11" x14ac:dyDescent="0.25">
      <c r="A530" t="str">
        <f>PROPER(TRIM('raw data'!A530))</f>
        <v>Female</v>
      </c>
      <c r="B530" t="str">
        <f>PROPER(TRIM('raw data'!B530))</f>
        <v>Group D</v>
      </c>
      <c r="C530" s="7" t="str">
        <f>PROPER(TRIM('raw data'!C530))</f>
        <v>Bachelor'S Degree</v>
      </c>
      <c r="D530" s="7" t="str">
        <f>PROPER(TRIM('raw data'!D530))</f>
        <v>Free/Reduced</v>
      </c>
      <c r="E530" s="7" t="str">
        <f>PROPER(TRIM('raw data'!E530))</f>
        <v>None</v>
      </c>
      <c r="F530" s="8">
        <v>29</v>
      </c>
      <c r="G530" s="8">
        <v>41</v>
      </c>
      <c r="H530" s="8">
        <v>47</v>
      </c>
      <c r="I530">
        <f t="shared" si="24"/>
        <v>117</v>
      </c>
      <c r="J530">
        <f t="shared" si="25"/>
        <v>39</v>
      </c>
      <c r="K530" s="7" t="str">
        <f t="shared" si="26"/>
        <v>fail</v>
      </c>
    </row>
    <row r="531" spans="1:11" x14ac:dyDescent="0.25">
      <c r="A531" t="str">
        <f>PROPER(TRIM('raw data'!A531))</f>
        <v>Female</v>
      </c>
      <c r="B531" t="str">
        <f>PROPER(TRIM('raw data'!B531))</f>
        <v>Group C</v>
      </c>
      <c r="C531" s="7" t="str">
        <f>PROPER(TRIM('raw data'!C531))</f>
        <v>Associate'S Degree</v>
      </c>
      <c r="D531" s="7" t="str">
        <f>PROPER(TRIM('raw data'!D531))</f>
        <v>Standard</v>
      </c>
      <c r="E531" s="7" t="str">
        <f>PROPER(TRIM('raw data'!E531))</f>
        <v>None</v>
      </c>
      <c r="F531" s="8">
        <v>62</v>
      </c>
      <c r="G531" s="8">
        <v>74</v>
      </c>
      <c r="H531" s="8">
        <v>70</v>
      </c>
      <c r="I531">
        <f t="shared" si="24"/>
        <v>206</v>
      </c>
      <c r="J531">
        <f t="shared" si="25"/>
        <v>68.666666666666671</v>
      </c>
      <c r="K531" s="7" t="str">
        <f t="shared" si="26"/>
        <v>pass</v>
      </c>
    </row>
    <row r="532" spans="1:11" x14ac:dyDescent="0.25">
      <c r="A532" t="str">
        <f>PROPER(TRIM('raw data'!A532))</f>
        <v>Female</v>
      </c>
      <c r="B532" t="str">
        <f>PROPER(TRIM('raw data'!B532))</f>
        <v>Group C</v>
      </c>
      <c r="C532" s="7" t="str">
        <f>PROPER(TRIM('raw data'!C532))</f>
        <v>Associate'S Degree</v>
      </c>
      <c r="D532" s="7" t="str">
        <f>PROPER(TRIM('raw data'!D532))</f>
        <v>Standard</v>
      </c>
      <c r="E532" s="7" t="str">
        <f>PROPER(TRIM('raw data'!E532))</f>
        <v>Completed</v>
      </c>
      <c r="F532" s="8">
        <v>68</v>
      </c>
      <c r="G532" s="8">
        <v>67</v>
      </c>
      <c r="H532" s="8">
        <v>73</v>
      </c>
      <c r="I532">
        <f t="shared" si="24"/>
        <v>208</v>
      </c>
      <c r="J532">
        <f t="shared" si="25"/>
        <v>69.333333333333329</v>
      </c>
      <c r="K532" s="7" t="str">
        <f t="shared" si="26"/>
        <v>pass</v>
      </c>
    </row>
    <row r="533" spans="1:11" x14ac:dyDescent="0.25">
      <c r="A533" t="str">
        <f>PROPER(TRIM('raw data'!A533))</f>
        <v>Female</v>
      </c>
      <c r="B533" t="str">
        <f>PROPER(TRIM('raw data'!B533))</f>
        <v>Group C</v>
      </c>
      <c r="C533" s="7" t="str">
        <f>PROPER(TRIM('raw data'!C533))</f>
        <v>Some High School</v>
      </c>
      <c r="D533" s="7" t="str">
        <f>PROPER(TRIM('raw data'!D533))</f>
        <v>Standard</v>
      </c>
      <c r="E533" s="7" t="str">
        <f>PROPER(TRIM('raw data'!E533))</f>
        <v>None</v>
      </c>
      <c r="F533" s="8">
        <v>47</v>
      </c>
      <c r="G533" s="8">
        <v>54</v>
      </c>
      <c r="H533" s="8">
        <v>53</v>
      </c>
      <c r="I533">
        <f t="shared" si="24"/>
        <v>154</v>
      </c>
      <c r="J533">
        <f t="shared" si="25"/>
        <v>51.333333333333336</v>
      </c>
      <c r="K533" s="7" t="str">
        <f t="shared" si="26"/>
        <v>pass</v>
      </c>
    </row>
    <row r="534" spans="1:11" x14ac:dyDescent="0.25">
      <c r="A534" t="str">
        <f>PROPER(TRIM('raw data'!A534))</f>
        <v>Male</v>
      </c>
      <c r="B534" t="str">
        <f>PROPER(TRIM('raw data'!B534))</f>
        <v>Group E</v>
      </c>
      <c r="C534" s="7" t="str">
        <f>PROPER(TRIM('raw data'!C534))</f>
        <v>Associate'S Degree</v>
      </c>
      <c r="D534" s="7" t="str">
        <f>PROPER(TRIM('raw data'!D534))</f>
        <v>Standard</v>
      </c>
      <c r="E534" s="7" t="str">
        <f>PROPER(TRIM('raw data'!E534))</f>
        <v>Completed</v>
      </c>
      <c r="F534" s="8">
        <v>62</v>
      </c>
      <c r="G534" s="8">
        <v>61</v>
      </c>
      <c r="H534" s="8">
        <v>58</v>
      </c>
      <c r="I534">
        <f t="shared" si="24"/>
        <v>181</v>
      </c>
      <c r="J534">
        <f t="shared" si="25"/>
        <v>60.333333333333336</v>
      </c>
      <c r="K534" s="7" t="str">
        <f t="shared" si="26"/>
        <v>pass</v>
      </c>
    </row>
    <row r="535" spans="1:11" x14ac:dyDescent="0.25">
      <c r="A535" t="str">
        <f>PROPER(TRIM('raw data'!A535))</f>
        <v>Female</v>
      </c>
      <c r="B535" t="str">
        <f>PROPER(TRIM('raw data'!B535))</f>
        <v>Group E</v>
      </c>
      <c r="C535" s="7" t="str">
        <f>PROPER(TRIM('raw data'!C535))</f>
        <v>Associate'S Degree</v>
      </c>
      <c r="D535" s="7" t="str">
        <f>PROPER(TRIM('raw data'!D535))</f>
        <v>Standard</v>
      </c>
      <c r="E535" s="7" t="str">
        <f>PROPER(TRIM('raw data'!E535))</f>
        <v>Completed</v>
      </c>
      <c r="F535" s="8">
        <v>79</v>
      </c>
      <c r="G535" s="8">
        <v>88</v>
      </c>
      <c r="H535" s="8">
        <v>94</v>
      </c>
      <c r="I535">
        <f t="shared" si="24"/>
        <v>261</v>
      </c>
      <c r="J535">
        <f t="shared" si="25"/>
        <v>87</v>
      </c>
      <c r="K535" s="7" t="str">
        <f t="shared" si="26"/>
        <v>pass</v>
      </c>
    </row>
    <row r="536" spans="1:11" x14ac:dyDescent="0.25">
      <c r="A536" t="str">
        <f>PROPER(TRIM('raw data'!A536))</f>
        <v>Male</v>
      </c>
      <c r="B536" t="str">
        <f>PROPER(TRIM('raw data'!B536))</f>
        <v>Group B</v>
      </c>
      <c r="C536" s="7" t="str">
        <f>PROPER(TRIM('raw data'!C536))</f>
        <v>High School</v>
      </c>
      <c r="D536" s="7" t="str">
        <f>PROPER(TRIM('raw data'!D536))</f>
        <v>Standard</v>
      </c>
      <c r="E536" s="7" t="str">
        <f>PROPER(TRIM('raw data'!E536))</f>
        <v>Completed</v>
      </c>
      <c r="F536" s="8">
        <v>73</v>
      </c>
      <c r="G536" s="8">
        <v>69</v>
      </c>
      <c r="H536" s="8">
        <v>68</v>
      </c>
      <c r="I536">
        <f t="shared" si="24"/>
        <v>210</v>
      </c>
      <c r="J536">
        <f t="shared" si="25"/>
        <v>70</v>
      </c>
      <c r="K536" s="7" t="str">
        <f t="shared" si="26"/>
        <v>pass</v>
      </c>
    </row>
    <row r="537" spans="1:11" x14ac:dyDescent="0.25">
      <c r="A537" t="str">
        <f>PROPER(TRIM('raw data'!A537))</f>
        <v>Female</v>
      </c>
      <c r="B537" t="str">
        <f>PROPER(TRIM('raw data'!B537))</f>
        <v>Group C</v>
      </c>
      <c r="C537" s="7" t="str">
        <f>PROPER(TRIM('raw data'!C537))</f>
        <v>Bachelor'S Degree</v>
      </c>
      <c r="D537" s="7" t="str">
        <f>PROPER(TRIM('raw data'!D537))</f>
        <v>Free/Reduced</v>
      </c>
      <c r="E537" s="7" t="str">
        <f>PROPER(TRIM('raw data'!E537))</f>
        <v>Completed</v>
      </c>
      <c r="F537" s="8">
        <v>66</v>
      </c>
      <c r="G537" s="8">
        <v>83</v>
      </c>
      <c r="H537" s="8">
        <v>83</v>
      </c>
      <c r="I537">
        <f t="shared" si="24"/>
        <v>232</v>
      </c>
      <c r="J537">
        <f t="shared" si="25"/>
        <v>77.333333333333329</v>
      </c>
      <c r="K537" s="7" t="str">
        <f t="shared" si="26"/>
        <v>pass</v>
      </c>
    </row>
    <row r="538" spans="1:11" x14ac:dyDescent="0.25">
      <c r="A538" t="str">
        <f>PROPER(TRIM('raw data'!A538))</f>
        <v>Male</v>
      </c>
      <c r="B538" t="str">
        <f>PROPER(TRIM('raw data'!B538))</f>
        <v>Group C</v>
      </c>
      <c r="C538" s="7" t="str">
        <f>PROPER(TRIM('raw data'!C538))</f>
        <v>Associate'S Degree</v>
      </c>
      <c r="D538" s="7" t="str">
        <f>PROPER(TRIM('raw data'!D538))</f>
        <v>Standard</v>
      </c>
      <c r="E538" s="7" t="str">
        <f>PROPER(TRIM('raw data'!E538))</f>
        <v>Completed</v>
      </c>
      <c r="F538" s="8">
        <v>51</v>
      </c>
      <c r="G538" s="8">
        <v>60</v>
      </c>
      <c r="H538" s="8">
        <v>58</v>
      </c>
      <c r="I538">
        <f t="shared" si="24"/>
        <v>169</v>
      </c>
      <c r="J538">
        <f t="shared" si="25"/>
        <v>56.333333333333336</v>
      </c>
      <c r="K538" s="7" t="str">
        <f t="shared" si="26"/>
        <v>pass</v>
      </c>
    </row>
    <row r="539" spans="1:11" x14ac:dyDescent="0.25">
      <c r="A539" t="str">
        <f>PROPER(TRIM('raw data'!A539))</f>
        <v>Female</v>
      </c>
      <c r="B539" t="str">
        <f>PROPER(TRIM('raw data'!B539))</f>
        <v>Group D</v>
      </c>
      <c r="C539" s="7" t="str">
        <f>PROPER(TRIM('raw data'!C539))</f>
        <v>High School</v>
      </c>
      <c r="D539" s="7" t="str">
        <f>PROPER(TRIM('raw data'!D539))</f>
        <v>Standard</v>
      </c>
      <c r="E539" s="7" t="str">
        <f>PROPER(TRIM('raw data'!E539))</f>
        <v>None</v>
      </c>
      <c r="F539" s="8">
        <v>51</v>
      </c>
      <c r="G539" s="8">
        <v>66</v>
      </c>
      <c r="H539" s="8">
        <v>62</v>
      </c>
      <c r="I539">
        <f t="shared" si="24"/>
        <v>179</v>
      </c>
      <c r="J539">
        <f t="shared" si="25"/>
        <v>59.666666666666664</v>
      </c>
      <c r="K539" s="7" t="str">
        <f t="shared" si="26"/>
        <v>pass</v>
      </c>
    </row>
    <row r="540" spans="1:11" x14ac:dyDescent="0.25">
      <c r="A540" t="str">
        <f>PROPER(TRIM('raw data'!A540))</f>
        <v>Male</v>
      </c>
      <c r="B540" t="str">
        <f>PROPER(TRIM('raw data'!B540))</f>
        <v>Group E</v>
      </c>
      <c r="C540" s="7" t="str">
        <f>PROPER(TRIM('raw data'!C540))</f>
        <v>Bachelor'S Degree</v>
      </c>
      <c r="D540" s="7" t="str">
        <f>PROPER(TRIM('raw data'!D540))</f>
        <v>Standard</v>
      </c>
      <c r="E540" s="7" t="str">
        <f>PROPER(TRIM('raw data'!E540))</f>
        <v>Completed</v>
      </c>
      <c r="F540" s="8">
        <v>85</v>
      </c>
      <c r="G540" s="8">
        <v>66</v>
      </c>
      <c r="H540" s="8">
        <v>71</v>
      </c>
      <c r="I540">
        <f t="shared" si="24"/>
        <v>222</v>
      </c>
      <c r="J540">
        <f t="shared" si="25"/>
        <v>74</v>
      </c>
      <c r="K540" s="7" t="str">
        <f t="shared" si="26"/>
        <v>pass</v>
      </c>
    </row>
    <row r="541" spans="1:11" x14ac:dyDescent="0.25">
      <c r="A541" t="str">
        <f>PROPER(TRIM('raw data'!A541))</f>
        <v>Male</v>
      </c>
      <c r="B541" t="str">
        <f>PROPER(TRIM('raw data'!B541))</f>
        <v>Group A</v>
      </c>
      <c r="C541" s="7" t="str">
        <f>PROPER(TRIM('raw data'!C541))</f>
        <v>Associate'S Degree</v>
      </c>
      <c r="D541" s="7" t="str">
        <f>PROPER(TRIM('raw data'!D541))</f>
        <v>Standard</v>
      </c>
      <c r="E541" s="7" t="str">
        <f>PROPER(TRIM('raw data'!E541))</f>
        <v>Completed</v>
      </c>
      <c r="F541" s="8">
        <v>97</v>
      </c>
      <c r="G541" s="8">
        <v>92</v>
      </c>
      <c r="H541" s="8">
        <v>86</v>
      </c>
      <c r="I541">
        <f t="shared" si="24"/>
        <v>275</v>
      </c>
      <c r="J541">
        <f t="shared" si="25"/>
        <v>91.666666666666671</v>
      </c>
      <c r="K541" s="7" t="str">
        <f t="shared" si="26"/>
        <v>pass</v>
      </c>
    </row>
    <row r="542" spans="1:11" x14ac:dyDescent="0.25">
      <c r="A542" t="str">
        <f>PROPER(TRIM('raw data'!A542))</f>
        <v>Male</v>
      </c>
      <c r="B542" t="str">
        <f>PROPER(TRIM('raw data'!B542))</f>
        <v>Group C</v>
      </c>
      <c r="C542" s="7" t="str">
        <f>PROPER(TRIM('raw data'!C542))</f>
        <v>High School</v>
      </c>
      <c r="D542" s="7" t="str">
        <f>PROPER(TRIM('raw data'!D542))</f>
        <v>Standard</v>
      </c>
      <c r="E542" s="7" t="str">
        <f>PROPER(TRIM('raw data'!E542))</f>
        <v>Completed</v>
      </c>
      <c r="F542" s="8">
        <v>75</v>
      </c>
      <c r="G542" s="8">
        <v>69</v>
      </c>
      <c r="H542" s="8">
        <v>68</v>
      </c>
      <c r="I542">
        <f t="shared" si="24"/>
        <v>212</v>
      </c>
      <c r="J542">
        <f t="shared" si="25"/>
        <v>70.666666666666671</v>
      </c>
      <c r="K542" s="7" t="str">
        <f t="shared" si="26"/>
        <v>pass</v>
      </c>
    </row>
    <row r="543" spans="1:11" x14ac:dyDescent="0.25">
      <c r="A543" t="str">
        <f>PROPER(TRIM('raw data'!A543))</f>
        <v>Male</v>
      </c>
      <c r="B543" t="str">
        <f>PROPER(TRIM('raw data'!B543))</f>
        <v>Group D</v>
      </c>
      <c r="C543" s="7" t="str">
        <f>PROPER(TRIM('raw data'!C543))</f>
        <v>Associate'S Degree</v>
      </c>
      <c r="D543" s="7" t="str">
        <f>PROPER(TRIM('raw data'!D543))</f>
        <v>Free/Reduced</v>
      </c>
      <c r="E543" s="7" t="str">
        <f>PROPER(TRIM('raw data'!E543))</f>
        <v>Completed</v>
      </c>
      <c r="F543" s="8">
        <v>79</v>
      </c>
      <c r="G543" s="8">
        <v>82</v>
      </c>
      <c r="H543" s="8">
        <v>80</v>
      </c>
      <c r="I543">
        <f t="shared" si="24"/>
        <v>241</v>
      </c>
      <c r="J543">
        <f t="shared" si="25"/>
        <v>80.333333333333329</v>
      </c>
      <c r="K543" s="7" t="str">
        <f t="shared" si="26"/>
        <v>pass</v>
      </c>
    </row>
    <row r="544" spans="1:11" x14ac:dyDescent="0.25">
      <c r="A544" t="str">
        <f>PROPER(TRIM('raw data'!A544))</f>
        <v>Female</v>
      </c>
      <c r="B544" t="str">
        <f>PROPER(TRIM('raw data'!B544))</f>
        <v>Group C</v>
      </c>
      <c r="C544" s="7" t="str">
        <f>PROPER(TRIM('raw data'!C544))</f>
        <v>Associate'S Degree</v>
      </c>
      <c r="D544" s="7" t="str">
        <f>PROPER(TRIM('raw data'!D544))</f>
        <v>Standard</v>
      </c>
      <c r="E544" s="7" t="str">
        <f>PROPER(TRIM('raw data'!E544))</f>
        <v>None</v>
      </c>
      <c r="F544" s="8">
        <v>81</v>
      </c>
      <c r="G544" s="8">
        <v>77</v>
      </c>
      <c r="H544" s="8">
        <v>79</v>
      </c>
      <c r="I544">
        <f t="shared" si="24"/>
        <v>237</v>
      </c>
      <c r="J544">
        <f t="shared" si="25"/>
        <v>79</v>
      </c>
      <c r="K544" s="7" t="str">
        <f t="shared" si="26"/>
        <v>pass</v>
      </c>
    </row>
    <row r="545" spans="1:11" x14ac:dyDescent="0.25">
      <c r="A545" t="str">
        <f>PROPER(TRIM('raw data'!A545))</f>
        <v>Female</v>
      </c>
      <c r="B545" t="str">
        <f>PROPER(TRIM('raw data'!B545))</f>
        <v>Group D</v>
      </c>
      <c r="C545" s="7" t="str">
        <f>PROPER(TRIM('raw data'!C545))</f>
        <v>Associate'S Degree</v>
      </c>
      <c r="D545" s="7" t="str">
        <f>PROPER(TRIM('raw data'!D545))</f>
        <v>Standard</v>
      </c>
      <c r="E545" s="7" t="str">
        <f>PROPER(TRIM('raw data'!E545))</f>
        <v>None</v>
      </c>
      <c r="F545" s="8">
        <v>82</v>
      </c>
      <c r="G545" s="8">
        <v>95</v>
      </c>
      <c r="H545" s="8">
        <v>89</v>
      </c>
      <c r="I545">
        <f t="shared" si="24"/>
        <v>266</v>
      </c>
      <c r="J545">
        <f t="shared" si="25"/>
        <v>88.666666666666671</v>
      </c>
      <c r="K545" s="7" t="str">
        <f t="shared" si="26"/>
        <v>pass</v>
      </c>
    </row>
    <row r="546" spans="1:11" x14ac:dyDescent="0.25">
      <c r="A546" t="str">
        <f>PROPER(TRIM('raw data'!A546))</f>
        <v>Female</v>
      </c>
      <c r="B546" t="str">
        <f>PROPER(TRIM('raw data'!B546))</f>
        <v>Group D</v>
      </c>
      <c r="C546" s="7" t="str">
        <f>PROPER(TRIM('raw data'!C546))</f>
        <v>Master'S Degree</v>
      </c>
      <c r="D546" s="7" t="str">
        <f>PROPER(TRIM('raw data'!D546))</f>
        <v>Standard</v>
      </c>
      <c r="E546" s="7" t="str">
        <f>PROPER(TRIM('raw data'!E546))</f>
        <v>None</v>
      </c>
      <c r="F546" s="8">
        <v>64</v>
      </c>
      <c r="G546" s="8">
        <v>63</v>
      </c>
      <c r="H546" s="8">
        <v>66</v>
      </c>
      <c r="I546">
        <f t="shared" si="24"/>
        <v>193</v>
      </c>
      <c r="J546">
        <f t="shared" si="25"/>
        <v>64.333333333333329</v>
      </c>
      <c r="K546" s="7" t="str">
        <f t="shared" si="26"/>
        <v>pass</v>
      </c>
    </row>
    <row r="547" spans="1:11" x14ac:dyDescent="0.25">
      <c r="A547" t="str">
        <f>PROPER(TRIM('raw data'!A547))</f>
        <v>Male</v>
      </c>
      <c r="B547" t="str">
        <f>PROPER(TRIM('raw data'!B547))</f>
        <v>Group E</v>
      </c>
      <c r="C547" s="7" t="str">
        <f>PROPER(TRIM('raw data'!C547))</f>
        <v>Some High School</v>
      </c>
      <c r="D547" s="7" t="str">
        <f>PROPER(TRIM('raw data'!D547))</f>
        <v>Free/Reduced</v>
      </c>
      <c r="E547" s="7" t="str">
        <f>PROPER(TRIM('raw data'!E547))</f>
        <v>Completed</v>
      </c>
      <c r="F547" s="8">
        <v>78</v>
      </c>
      <c r="G547" s="8">
        <v>83</v>
      </c>
      <c r="H547" s="8">
        <v>80</v>
      </c>
      <c r="I547">
        <f t="shared" si="24"/>
        <v>241</v>
      </c>
      <c r="J547">
        <f t="shared" si="25"/>
        <v>80.333333333333329</v>
      </c>
      <c r="K547" s="7" t="str">
        <f t="shared" si="26"/>
        <v>pass</v>
      </c>
    </row>
    <row r="548" spans="1:11" x14ac:dyDescent="0.25">
      <c r="A548" t="str">
        <f>PROPER(TRIM('raw data'!A548))</f>
        <v>Female</v>
      </c>
      <c r="B548" t="str">
        <f>PROPER(TRIM('raw data'!B548))</f>
        <v>Group A</v>
      </c>
      <c r="C548" s="7" t="str">
        <f>PROPER(TRIM('raw data'!C548))</f>
        <v>Some High School</v>
      </c>
      <c r="D548" s="7" t="str">
        <f>PROPER(TRIM('raw data'!D548))</f>
        <v>Standard</v>
      </c>
      <c r="E548" s="7" t="str">
        <f>PROPER(TRIM('raw data'!E548))</f>
        <v>Completed</v>
      </c>
      <c r="F548" s="8">
        <v>92</v>
      </c>
      <c r="G548" s="8">
        <v>100</v>
      </c>
      <c r="H548" s="8">
        <v>97</v>
      </c>
      <c r="I548">
        <f t="shared" si="24"/>
        <v>289</v>
      </c>
      <c r="J548">
        <f t="shared" si="25"/>
        <v>96.333333333333329</v>
      </c>
      <c r="K548" s="7" t="str">
        <f t="shared" si="26"/>
        <v>pass</v>
      </c>
    </row>
    <row r="549" spans="1:11" x14ac:dyDescent="0.25">
      <c r="A549" t="str">
        <f>PROPER(TRIM('raw data'!A549))</f>
        <v>Male</v>
      </c>
      <c r="B549" t="str">
        <f>PROPER(TRIM('raw data'!B549))</f>
        <v>Group C</v>
      </c>
      <c r="C549" s="7" t="str">
        <f>PROPER(TRIM('raw data'!C549))</f>
        <v>High School</v>
      </c>
      <c r="D549" s="7" t="str">
        <f>PROPER(TRIM('raw data'!D549))</f>
        <v>Standard</v>
      </c>
      <c r="E549" s="7" t="str">
        <f>PROPER(TRIM('raw data'!E549))</f>
        <v>Completed</v>
      </c>
      <c r="F549" s="8">
        <v>72</v>
      </c>
      <c r="G549" s="8">
        <v>67</v>
      </c>
      <c r="H549" s="8">
        <v>64</v>
      </c>
      <c r="I549">
        <f t="shared" si="24"/>
        <v>203</v>
      </c>
      <c r="J549">
        <f t="shared" si="25"/>
        <v>67.666666666666671</v>
      </c>
      <c r="K549" s="7" t="str">
        <f t="shared" si="26"/>
        <v>pass</v>
      </c>
    </row>
    <row r="550" spans="1:11" x14ac:dyDescent="0.25">
      <c r="A550" t="str">
        <f>PROPER(TRIM('raw data'!A550))</f>
        <v>Female</v>
      </c>
      <c r="B550" t="str">
        <f>PROPER(TRIM('raw data'!B550))</f>
        <v>Group C</v>
      </c>
      <c r="C550" s="7" t="str">
        <f>PROPER(TRIM('raw data'!C550))</f>
        <v>High School</v>
      </c>
      <c r="D550" s="7" t="str">
        <f>PROPER(TRIM('raw data'!D550))</f>
        <v>Free/Reduced</v>
      </c>
      <c r="E550" s="7" t="str">
        <f>PROPER(TRIM('raw data'!E550))</f>
        <v>None</v>
      </c>
      <c r="F550" s="8">
        <v>62</v>
      </c>
      <c r="G550" s="8">
        <v>67</v>
      </c>
      <c r="H550" s="8">
        <v>64</v>
      </c>
      <c r="I550">
        <f t="shared" si="24"/>
        <v>193</v>
      </c>
      <c r="J550">
        <f t="shared" si="25"/>
        <v>64.333333333333329</v>
      </c>
      <c r="K550" s="7" t="str">
        <f t="shared" si="26"/>
        <v>pass</v>
      </c>
    </row>
    <row r="551" spans="1:11" x14ac:dyDescent="0.25">
      <c r="A551" t="str">
        <f>PROPER(TRIM('raw data'!A551))</f>
        <v>Male</v>
      </c>
      <c r="B551" t="str">
        <f>PROPER(TRIM('raw data'!B551))</f>
        <v>Group C</v>
      </c>
      <c r="C551" s="7" t="str">
        <f>PROPER(TRIM('raw data'!C551))</f>
        <v>Master'S Degree</v>
      </c>
      <c r="D551" s="7" t="str">
        <f>PROPER(TRIM('raw data'!D551))</f>
        <v>Standard</v>
      </c>
      <c r="E551" s="7" t="str">
        <f>PROPER(TRIM('raw data'!E551))</f>
        <v>None</v>
      </c>
      <c r="F551" s="8">
        <v>79</v>
      </c>
      <c r="G551" s="8">
        <v>72</v>
      </c>
      <c r="H551" s="8">
        <v>69</v>
      </c>
      <c r="I551">
        <f t="shared" si="24"/>
        <v>220</v>
      </c>
      <c r="J551">
        <f t="shared" si="25"/>
        <v>73.333333333333329</v>
      </c>
      <c r="K551" s="7" t="str">
        <f t="shared" si="26"/>
        <v>pass</v>
      </c>
    </row>
    <row r="552" spans="1:11" x14ac:dyDescent="0.25">
      <c r="A552" t="str">
        <f>PROPER(TRIM('raw data'!A552))</f>
        <v>Male</v>
      </c>
      <c r="B552" t="str">
        <f>PROPER(TRIM('raw data'!B552))</f>
        <v>Group C</v>
      </c>
      <c r="C552" s="7" t="str">
        <f>PROPER(TRIM('raw data'!C552))</f>
        <v>Some High School</v>
      </c>
      <c r="D552" s="7" t="str">
        <f>PROPER(TRIM('raw data'!D552))</f>
        <v>Free/Reduced</v>
      </c>
      <c r="E552" s="7" t="str">
        <f>PROPER(TRIM('raw data'!E552))</f>
        <v>None</v>
      </c>
      <c r="F552" s="8">
        <v>79</v>
      </c>
      <c r="G552" s="8">
        <v>76</v>
      </c>
      <c r="H552" s="8">
        <v>65</v>
      </c>
      <c r="I552">
        <f t="shared" si="24"/>
        <v>220</v>
      </c>
      <c r="J552">
        <f t="shared" si="25"/>
        <v>73.333333333333329</v>
      </c>
      <c r="K552" s="7" t="str">
        <f t="shared" si="26"/>
        <v>pass</v>
      </c>
    </row>
    <row r="553" spans="1:11" x14ac:dyDescent="0.25">
      <c r="A553" t="str">
        <f>PROPER(TRIM('raw data'!A553))</f>
        <v>Male</v>
      </c>
      <c r="B553" t="str">
        <f>PROPER(TRIM('raw data'!B553))</f>
        <v>Group B</v>
      </c>
      <c r="C553" s="7" t="str">
        <f>PROPER(TRIM('raw data'!C553))</f>
        <v>Bachelor'S Degree</v>
      </c>
      <c r="D553" s="7" t="str">
        <f>PROPER(TRIM('raw data'!D553))</f>
        <v>Free/Reduced</v>
      </c>
      <c r="E553" s="7" t="str">
        <f>PROPER(TRIM('raw data'!E553))</f>
        <v>Completed</v>
      </c>
      <c r="F553" s="8">
        <v>87</v>
      </c>
      <c r="G553" s="8">
        <v>90</v>
      </c>
      <c r="H553" s="8">
        <v>88</v>
      </c>
      <c r="I553">
        <f t="shared" si="24"/>
        <v>265</v>
      </c>
      <c r="J553">
        <f t="shared" si="25"/>
        <v>88.333333333333329</v>
      </c>
      <c r="K553" s="7" t="str">
        <f t="shared" si="26"/>
        <v>pass</v>
      </c>
    </row>
    <row r="554" spans="1:11" x14ac:dyDescent="0.25">
      <c r="A554" t="str">
        <f>PROPER(TRIM('raw data'!A554))</f>
        <v>Female</v>
      </c>
      <c r="B554" t="str">
        <f>PROPER(TRIM('raw data'!B554))</f>
        <v>Group B</v>
      </c>
      <c r="C554" s="7" t="str">
        <f>PROPER(TRIM('raw data'!C554))</f>
        <v>Associate'S Degree</v>
      </c>
      <c r="D554" s="7" t="str">
        <f>PROPER(TRIM('raw data'!D554))</f>
        <v>Standard</v>
      </c>
      <c r="E554" s="7" t="str">
        <f>PROPER(TRIM('raw data'!E554))</f>
        <v>None</v>
      </c>
      <c r="F554" s="8">
        <v>40</v>
      </c>
      <c r="G554" s="8">
        <v>48</v>
      </c>
      <c r="H554" s="8">
        <v>50</v>
      </c>
      <c r="I554">
        <f t="shared" si="24"/>
        <v>138</v>
      </c>
      <c r="J554">
        <f t="shared" si="25"/>
        <v>46</v>
      </c>
      <c r="K554" s="7" t="str">
        <f t="shared" si="26"/>
        <v>pass</v>
      </c>
    </row>
    <row r="555" spans="1:11" x14ac:dyDescent="0.25">
      <c r="A555" t="str">
        <f>PROPER(TRIM('raw data'!A555))</f>
        <v>Male</v>
      </c>
      <c r="B555" t="str">
        <f>PROPER(TRIM('raw data'!B555))</f>
        <v>Group D</v>
      </c>
      <c r="C555" s="7" t="str">
        <f>PROPER(TRIM('raw data'!C555))</f>
        <v>Some College</v>
      </c>
      <c r="D555" s="7" t="str">
        <f>PROPER(TRIM('raw data'!D555))</f>
        <v>Free/Reduced</v>
      </c>
      <c r="E555" s="7" t="str">
        <f>PROPER(TRIM('raw data'!E555))</f>
        <v>None</v>
      </c>
      <c r="F555" s="8">
        <v>77</v>
      </c>
      <c r="G555" s="8">
        <v>62</v>
      </c>
      <c r="H555" s="8">
        <v>64</v>
      </c>
      <c r="I555">
        <f t="shared" si="24"/>
        <v>203</v>
      </c>
      <c r="J555">
        <f t="shared" si="25"/>
        <v>67.666666666666671</v>
      </c>
      <c r="K555" s="7" t="str">
        <f t="shared" si="26"/>
        <v>pass</v>
      </c>
    </row>
    <row r="556" spans="1:11" x14ac:dyDescent="0.25">
      <c r="A556" t="str">
        <f>PROPER(TRIM('raw data'!A556))</f>
        <v>Male</v>
      </c>
      <c r="B556" t="str">
        <f>PROPER(TRIM('raw data'!B556))</f>
        <v>Group E</v>
      </c>
      <c r="C556" s="7" t="str">
        <f>PROPER(TRIM('raw data'!C556))</f>
        <v>Associate'S Degree</v>
      </c>
      <c r="D556" s="7" t="str">
        <f>PROPER(TRIM('raw data'!D556))</f>
        <v>Standard</v>
      </c>
      <c r="E556" s="7" t="str">
        <f>PROPER(TRIM('raw data'!E556))</f>
        <v>None</v>
      </c>
      <c r="F556" s="8">
        <v>53</v>
      </c>
      <c r="G556" s="8">
        <v>45</v>
      </c>
      <c r="H556" s="8">
        <v>40</v>
      </c>
      <c r="I556">
        <f t="shared" si="24"/>
        <v>138</v>
      </c>
      <c r="J556">
        <f t="shared" si="25"/>
        <v>46</v>
      </c>
      <c r="K556" s="7" t="str">
        <f t="shared" si="26"/>
        <v>pass</v>
      </c>
    </row>
    <row r="557" spans="1:11" x14ac:dyDescent="0.25">
      <c r="A557" t="str">
        <f>PROPER(TRIM('raw data'!A557))</f>
        <v>Female</v>
      </c>
      <c r="B557" t="str">
        <f>PROPER(TRIM('raw data'!B557))</f>
        <v>Group C</v>
      </c>
      <c r="C557" s="7" t="str">
        <f>PROPER(TRIM('raw data'!C557))</f>
        <v>Some College</v>
      </c>
      <c r="D557" s="7" t="str">
        <f>PROPER(TRIM('raw data'!D557))</f>
        <v>Free/Reduced</v>
      </c>
      <c r="E557" s="7" t="str">
        <f>PROPER(TRIM('raw data'!E557))</f>
        <v>None</v>
      </c>
      <c r="F557" s="8">
        <v>32</v>
      </c>
      <c r="G557" s="8">
        <v>39</v>
      </c>
      <c r="H557" s="8">
        <v>33</v>
      </c>
      <c r="I557">
        <f t="shared" si="24"/>
        <v>104</v>
      </c>
      <c r="J557">
        <f t="shared" si="25"/>
        <v>34.666666666666664</v>
      </c>
      <c r="K557" s="7" t="str">
        <f t="shared" si="26"/>
        <v>fail</v>
      </c>
    </row>
    <row r="558" spans="1:11" x14ac:dyDescent="0.25">
      <c r="A558" t="str">
        <f>PROPER(TRIM('raw data'!A558))</f>
        <v>Female</v>
      </c>
      <c r="B558" t="str">
        <f>PROPER(TRIM('raw data'!B558))</f>
        <v>Group C</v>
      </c>
      <c r="C558" s="7" t="str">
        <f>PROPER(TRIM('raw data'!C558))</f>
        <v>Associate'S Degree</v>
      </c>
      <c r="D558" s="7" t="str">
        <f>PROPER(TRIM('raw data'!D558))</f>
        <v>Standard</v>
      </c>
      <c r="E558" s="7" t="str">
        <f>PROPER(TRIM('raw data'!E558))</f>
        <v>Completed</v>
      </c>
      <c r="F558" s="8">
        <v>55</v>
      </c>
      <c r="G558" s="8">
        <v>72</v>
      </c>
      <c r="H558" s="8">
        <v>79</v>
      </c>
      <c r="I558">
        <f t="shared" si="24"/>
        <v>206</v>
      </c>
      <c r="J558">
        <f t="shared" si="25"/>
        <v>68.666666666666671</v>
      </c>
      <c r="K558" s="7" t="str">
        <f t="shared" si="26"/>
        <v>pass</v>
      </c>
    </row>
    <row r="559" spans="1:11" x14ac:dyDescent="0.25">
      <c r="A559" t="str">
        <f>PROPER(TRIM('raw data'!A559))</f>
        <v>Male</v>
      </c>
      <c r="B559" t="str">
        <f>PROPER(TRIM('raw data'!B559))</f>
        <v>Group C</v>
      </c>
      <c r="C559" s="7" t="str">
        <f>PROPER(TRIM('raw data'!C559))</f>
        <v>Master'S Degree</v>
      </c>
      <c r="D559" s="7" t="str">
        <f>PROPER(TRIM('raw data'!D559))</f>
        <v>Free/Reduced</v>
      </c>
      <c r="E559" s="7" t="str">
        <f>PROPER(TRIM('raw data'!E559))</f>
        <v>None</v>
      </c>
      <c r="F559" s="8">
        <v>61</v>
      </c>
      <c r="G559" s="8">
        <v>67</v>
      </c>
      <c r="H559" s="8">
        <v>66</v>
      </c>
      <c r="I559">
        <f t="shared" si="24"/>
        <v>194</v>
      </c>
      <c r="J559">
        <f t="shared" si="25"/>
        <v>64.666666666666671</v>
      </c>
      <c r="K559" s="7" t="str">
        <f t="shared" si="26"/>
        <v>pass</v>
      </c>
    </row>
    <row r="560" spans="1:11" x14ac:dyDescent="0.25">
      <c r="A560" t="str">
        <f>PROPER(TRIM('raw data'!A560))</f>
        <v>Female</v>
      </c>
      <c r="B560" t="str">
        <f>PROPER(TRIM('raw data'!B560))</f>
        <v>Group B</v>
      </c>
      <c r="C560" s="7" t="str">
        <f>PROPER(TRIM('raw data'!C560))</f>
        <v>Associate'S Degree</v>
      </c>
      <c r="D560" s="7" t="str">
        <f>PROPER(TRIM('raw data'!D560))</f>
        <v>Free/Reduced</v>
      </c>
      <c r="E560" s="7" t="str">
        <f>PROPER(TRIM('raw data'!E560))</f>
        <v>None</v>
      </c>
      <c r="F560" s="8">
        <v>53</v>
      </c>
      <c r="G560" s="8">
        <v>70</v>
      </c>
      <c r="H560" s="8">
        <v>70</v>
      </c>
      <c r="I560">
        <f t="shared" si="24"/>
        <v>193</v>
      </c>
      <c r="J560">
        <f t="shared" si="25"/>
        <v>64.333333333333329</v>
      </c>
      <c r="K560" s="7" t="str">
        <f t="shared" si="26"/>
        <v>pass</v>
      </c>
    </row>
    <row r="561" spans="1:11" x14ac:dyDescent="0.25">
      <c r="A561" t="str">
        <f>PROPER(TRIM('raw data'!A561))</f>
        <v>Male</v>
      </c>
      <c r="B561" t="str">
        <f>PROPER(TRIM('raw data'!B561))</f>
        <v>Group D</v>
      </c>
      <c r="C561" s="7" t="str">
        <f>PROPER(TRIM('raw data'!C561))</f>
        <v>Some High School</v>
      </c>
      <c r="D561" s="7" t="str">
        <f>PROPER(TRIM('raw data'!D561))</f>
        <v>Standard</v>
      </c>
      <c r="E561" s="7" t="str">
        <f>PROPER(TRIM('raw data'!E561))</f>
        <v>None</v>
      </c>
      <c r="F561" s="8">
        <v>73</v>
      </c>
      <c r="G561" s="8">
        <v>66</v>
      </c>
      <c r="H561" s="8">
        <v>62</v>
      </c>
      <c r="I561">
        <f t="shared" si="24"/>
        <v>201</v>
      </c>
      <c r="J561">
        <f t="shared" si="25"/>
        <v>67</v>
      </c>
      <c r="K561" s="7" t="str">
        <f t="shared" si="26"/>
        <v>pass</v>
      </c>
    </row>
    <row r="562" spans="1:11" x14ac:dyDescent="0.25">
      <c r="A562" t="str">
        <f>PROPER(TRIM('raw data'!A562))</f>
        <v>Female</v>
      </c>
      <c r="B562" t="str">
        <f>PROPER(TRIM('raw data'!B562))</f>
        <v>Group D</v>
      </c>
      <c r="C562" s="7" t="str">
        <f>PROPER(TRIM('raw data'!C562))</f>
        <v>Some College</v>
      </c>
      <c r="D562" s="7" t="str">
        <f>PROPER(TRIM('raw data'!D562))</f>
        <v>Standard</v>
      </c>
      <c r="E562" s="7" t="str">
        <f>PROPER(TRIM('raw data'!E562))</f>
        <v>Completed</v>
      </c>
      <c r="F562" s="8">
        <v>74</v>
      </c>
      <c r="G562" s="8">
        <v>75</v>
      </c>
      <c r="H562" s="8">
        <v>79</v>
      </c>
      <c r="I562">
        <f t="shared" si="24"/>
        <v>228</v>
      </c>
      <c r="J562">
        <f t="shared" si="25"/>
        <v>76</v>
      </c>
      <c r="K562" s="7" t="str">
        <f t="shared" si="26"/>
        <v>pass</v>
      </c>
    </row>
    <row r="563" spans="1:11" x14ac:dyDescent="0.25">
      <c r="A563" t="str">
        <f>PROPER(TRIM('raw data'!A563))</f>
        <v>Female</v>
      </c>
      <c r="B563" t="str">
        <f>PROPER(TRIM('raw data'!B563))</f>
        <v>Group C</v>
      </c>
      <c r="C563" s="7" t="str">
        <f>PROPER(TRIM('raw data'!C563))</f>
        <v>Some College</v>
      </c>
      <c r="D563" s="7" t="str">
        <f>PROPER(TRIM('raw data'!D563))</f>
        <v>Standard</v>
      </c>
      <c r="E563" s="7" t="str">
        <f>PROPER(TRIM('raw data'!E563))</f>
        <v>None</v>
      </c>
      <c r="F563" s="8">
        <v>63</v>
      </c>
      <c r="G563" s="8">
        <v>74</v>
      </c>
      <c r="H563" s="8">
        <v>74</v>
      </c>
      <c r="I563">
        <f t="shared" si="24"/>
        <v>211</v>
      </c>
      <c r="J563">
        <f t="shared" si="25"/>
        <v>70.333333333333329</v>
      </c>
      <c r="K563" s="7" t="str">
        <f t="shared" si="26"/>
        <v>pass</v>
      </c>
    </row>
    <row r="564" spans="1:11" x14ac:dyDescent="0.25">
      <c r="A564" t="str">
        <f>PROPER(TRIM('raw data'!A564))</f>
        <v>Male</v>
      </c>
      <c r="B564" t="str">
        <f>PROPER(TRIM('raw data'!B564))</f>
        <v>Group C</v>
      </c>
      <c r="C564" s="7" t="str">
        <f>PROPER(TRIM('raw data'!C564))</f>
        <v>Bachelor'S Degree</v>
      </c>
      <c r="D564" s="7" t="str">
        <f>PROPER(TRIM('raw data'!D564))</f>
        <v>Standard</v>
      </c>
      <c r="E564" s="7" t="str">
        <f>PROPER(TRIM('raw data'!E564))</f>
        <v>Completed</v>
      </c>
      <c r="F564" s="8">
        <v>96</v>
      </c>
      <c r="G564" s="8">
        <v>90</v>
      </c>
      <c r="H564" s="8">
        <v>92</v>
      </c>
      <c r="I564">
        <f t="shared" si="24"/>
        <v>278</v>
      </c>
      <c r="J564">
        <f t="shared" si="25"/>
        <v>92.666666666666671</v>
      </c>
      <c r="K564" s="7" t="str">
        <f t="shared" si="26"/>
        <v>pass</v>
      </c>
    </row>
    <row r="565" spans="1:11" x14ac:dyDescent="0.25">
      <c r="A565" t="str">
        <f>PROPER(TRIM('raw data'!A565))</f>
        <v>Female</v>
      </c>
      <c r="B565" t="str">
        <f>PROPER(TRIM('raw data'!B565))</f>
        <v>Group D</v>
      </c>
      <c r="C565" s="7" t="str">
        <f>PROPER(TRIM('raw data'!C565))</f>
        <v>Some College</v>
      </c>
      <c r="D565" s="7" t="str">
        <f>PROPER(TRIM('raw data'!D565))</f>
        <v>Free/Reduced</v>
      </c>
      <c r="E565" s="7" t="str">
        <f>PROPER(TRIM('raw data'!E565))</f>
        <v>Completed</v>
      </c>
      <c r="F565" s="8">
        <v>63</v>
      </c>
      <c r="G565" s="8">
        <v>80</v>
      </c>
      <c r="H565" s="8">
        <v>80</v>
      </c>
      <c r="I565">
        <f t="shared" si="24"/>
        <v>223</v>
      </c>
      <c r="J565">
        <f t="shared" si="25"/>
        <v>74.333333333333329</v>
      </c>
      <c r="K565" s="7" t="str">
        <f t="shared" si="26"/>
        <v>pass</v>
      </c>
    </row>
    <row r="566" spans="1:11" x14ac:dyDescent="0.25">
      <c r="A566" t="str">
        <f>PROPER(TRIM('raw data'!A566))</f>
        <v>Male</v>
      </c>
      <c r="B566" t="str">
        <f>PROPER(TRIM('raw data'!B566))</f>
        <v>Group B</v>
      </c>
      <c r="C566" s="7" t="str">
        <f>PROPER(TRIM('raw data'!C566))</f>
        <v>Bachelor'S Degree</v>
      </c>
      <c r="D566" s="7" t="str">
        <f>PROPER(TRIM('raw data'!D566))</f>
        <v>Free/Reduced</v>
      </c>
      <c r="E566" s="7" t="str">
        <f>PROPER(TRIM('raw data'!E566))</f>
        <v>None</v>
      </c>
      <c r="F566" s="8">
        <v>48</v>
      </c>
      <c r="G566" s="8">
        <v>51</v>
      </c>
      <c r="H566" s="8">
        <v>46</v>
      </c>
      <c r="I566">
        <f t="shared" si="24"/>
        <v>145</v>
      </c>
      <c r="J566">
        <f t="shared" si="25"/>
        <v>48.333333333333336</v>
      </c>
      <c r="K566" s="7" t="str">
        <f t="shared" si="26"/>
        <v>pass</v>
      </c>
    </row>
    <row r="567" spans="1:11" x14ac:dyDescent="0.25">
      <c r="A567" t="str">
        <f>PROPER(TRIM('raw data'!A567))</f>
        <v>Male</v>
      </c>
      <c r="B567" t="str">
        <f>PROPER(TRIM('raw data'!B567))</f>
        <v>Group B</v>
      </c>
      <c r="C567" s="7" t="str">
        <f>PROPER(TRIM('raw data'!C567))</f>
        <v>Associate'S Degree</v>
      </c>
      <c r="D567" s="7" t="str">
        <f>PROPER(TRIM('raw data'!D567))</f>
        <v>Standard</v>
      </c>
      <c r="E567" s="7" t="str">
        <f>PROPER(TRIM('raw data'!E567))</f>
        <v>None</v>
      </c>
      <c r="F567" s="8">
        <v>48</v>
      </c>
      <c r="G567" s="8">
        <v>43</v>
      </c>
      <c r="H567" s="8">
        <v>45</v>
      </c>
      <c r="I567">
        <f t="shared" si="24"/>
        <v>136</v>
      </c>
      <c r="J567">
        <f t="shared" si="25"/>
        <v>45.333333333333336</v>
      </c>
      <c r="K567" s="7" t="str">
        <f t="shared" si="26"/>
        <v>pass</v>
      </c>
    </row>
    <row r="568" spans="1:11" x14ac:dyDescent="0.25">
      <c r="A568" t="str">
        <f>PROPER(TRIM('raw data'!A568))</f>
        <v>Female</v>
      </c>
      <c r="B568" t="str">
        <f>PROPER(TRIM('raw data'!B568))</f>
        <v>Group E</v>
      </c>
      <c r="C568" s="7" t="str">
        <f>PROPER(TRIM('raw data'!C568))</f>
        <v>Bachelor'S Degree</v>
      </c>
      <c r="D568" s="7" t="str">
        <f>PROPER(TRIM('raw data'!D568))</f>
        <v>Free/Reduced</v>
      </c>
      <c r="E568" s="7" t="str">
        <f>PROPER(TRIM('raw data'!E568))</f>
        <v>Completed</v>
      </c>
      <c r="F568" s="8">
        <v>92</v>
      </c>
      <c r="G568" s="8">
        <v>100</v>
      </c>
      <c r="H568" s="8">
        <v>100</v>
      </c>
      <c r="I568">
        <f t="shared" si="24"/>
        <v>292</v>
      </c>
      <c r="J568">
        <f t="shared" si="25"/>
        <v>97.333333333333329</v>
      </c>
      <c r="K568" s="7" t="str">
        <f t="shared" si="26"/>
        <v>pass</v>
      </c>
    </row>
    <row r="569" spans="1:11" x14ac:dyDescent="0.25">
      <c r="A569" t="str">
        <f>PROPER(TRIM('raw data'!A569))</f>
        <v>Female</v>
      </c>
      <c r="B569" t="str">
        <f>PROPER(TRIM('raw data'!B569))</f>
        <v>Group D</v>
      </c>
      <c r="C569" s="7" t="str">
        <f>PROPER(TRIM('raw data'!C569))</f>
        <v>Master'S Degree</v>
      </c>
      <c r="D569" s="7" t="str">
        <f>PROPER(TRIM('raw data'!D569))</f>
        <v>Free/Reduced</v>
      </c>
      <c r="E569" s="7" t="str">
        <f>PROPER(TRIM('raw data'!E569))</f>
        <v>Completed</v>
      </c>
      <c r="F569" s="8">
        <v>61</v>
      </c>
      <c r="G569" s="8">
        <v>71</v>
      </c>
      <c r="H569" s="8">
        <v>78</v>
      </c>
      <c r="I569">
        <f t="shared" si="24"/>
        <v>210</v>
      </c>
      <c r="J569">
        <f t="shared" si="25"/>
        <v>70</v>
      </c>
      <c r="K569" s="7" t="str">
        <f t="shared" si="26"/>
        <v>pass</v>
      </c>
    </row>
    <row r="570" spans="1:11" x14ac:dyDescent="0.25">
      <c r="A570" t="str">
        <f>PROPER(TRIM('raw data'!A570))</f>
        <v>Male</v>
      </c>
      <c r="B570" t="str">
        <f>PROPER(TRIM('raw data'!B570))</f>
        <v>Group B</v>
      </c>
      <c r="C570" s="7" t="str">
        <f>PROPER(TRIM('raw data'!C570))</f>
        <v>High School</v>
      </c>
      <c r="D570" s="7" t="str">
        <f>PROPER(TRIM('raw data'!D570))</f>
        <v>Free/Reduced</v>
      </c>
      <c r="E570" s="7" t="str">
        <f>PROPER(TRIM('raw data'!E570))</f>
        <v>None</v>
      </c>
      <c r="F570" s="8">
        <v>63</v>
      </c>
      <c r="G570" s="8">
        <v>48</v>
      </c>
      <c r="H570" s="8">
        <v>47</v>
      </c>
      <c r="I570">
        <f t="shared" si="24"/>
        <v>158</v>
      </c>
      <c r="J570">
        <f t="shared" si="25"/>
        <v>52.666666666666664</v>
      </c>
      <c r="K570" s="7" t="str">
        <f t="shared" si="26"/>
        <v>pass</v>
      </c>
    </row>
    <row r="571" spans="1:11" x14ac:dyDescent="0.25">
      <c r="A571" t="str">
        <f>PROPER(TRIM('raw data'!A571))</f>
        <v>Male</v>
      </c>
      <c r="B571" t="str">
        <f>PROPER(TRIM('raw data'!B571))</f>
        <v>Group D</v>
      </c>
      <c r="C571" s="7" t="str">
        <f>PROPER(TRIM('raw data'!C571))</f>
        <v>Bachelor'S Degree</v>
      </c>
      <c r="D571" s="7" t="str">
        <f>PROPER(TRIM('raw data'!D571))</f>
        <v>Free/Reduced</v>
      </c>
      <c r="E571" s="7" t="str">
        <f>PROPER(TRIM('raw data'!E571))</f>
        <v>None</v>
      </c>
      <c r="F571" s="8">
        <v>68</v>
      </c>
      <c r="G571" s="8">
        <v>68</v>
      </c>
      <c r="H571" s="8">
        <v>67</v>
      </c>
      <c r="I571">
        <f t="shared" si="24"/>
        <v>203</v>
      </c>
      <c r="J571">
        <f t="shared" si="25"/>
        <v>67.666666666666671</v>
      </c>
      <c r="K571" s="7" t="str">
        <f t="shared" si="26"/>
        <v>pass</v>
      </c>
    </row>
    <row r="572" spans="1:11" x14ac:dyDescent="0.25">
      <c r="A572" t="str">
        <f>PROPER(TRIM('raw data'!A572))</f>
        <v>Male</v>
      </c>
      <c r="B572" t="str">
        <f>PROPER(TRIM('raw data'!B572))</f>
        <v>Group B</v>
      </c>
      <c r="C572" s="7" t="str">
        <f>PROPER(TRIM('raw data'!C572))</f>
        <v>Some College</v>
      </c>
      <c r="D572" s="7" t="str">
        <f>PROPER(TRIM('raw data'!D572))</f>
        <v>Standard</v>
      </c>
      <c r="E572" s="7" t="str">
        <f>PROPER(TRIM('raw data'!E572))</f>
        <v>Completed</v>
      </c>
      <c r="F572" s="8">
        <v>71</v>
      </c>
      <c r="G572" s="8">
        <v>75</v>
      </c>
      <c r="H572" s="8">
        <v>70</v>
      </c>
      <c r="I572">
        <f t="shared" si="24"/>
        <v>216</v>
      </c>
      <c r="J572">
        <f t="shared" si="25"/>
        <v>72</v>
      </c>
      <c r="K572" s="7" t="str">
        <f t="shared" si="26"/>
        <v>pass</v>
      </c>
    </row>
    <row r="573" spans="1:11" x14ac:dyDescent="0.25">
      <c r="A573" t="str">
        <f>PROPER(TRIM('raw data'!A573))</f>
        <v>Male</v>
      </c>
      <c r="B573" t="str">
        <f>PROPER(TRIM('raw data'!B573))</f>
        <v>Group A</v>
      </c>
      <c r="C573" s="7" t="str">
        <f>PROPER(TRIM('raw data'!C573))</f>
        <v>Bachelor'S Degree</v>
      </c>
      <c r="D573" s="7" t="str">
        <f>PROPER(TRIM('raw data'!D573))</f>
        <v>Standard</v>
      </c>
      <c r="E573" s="7" t="str">
        <f>PROPER(TRIM('raw data'!E573))</f>
        <v>None</v>
      </c>
      <c r="F573" s="8">
        <v>91</v>
      </c>
      <c r="G573" s="8">
        <v>96</v>
      </c>
      <c r="H573" s="8">
        <v>92</v>
      </c>
      <c r="I573">
        <f t="shared" si="24"/>
        <v>279</v>
      </c>
      <c r="J573">
        <f t="shared" si="25"/>
        <v>93</v>
      </c>
      <c r="K573" s="7" t="str">
        <f t="shared" si="26"/>
        <v>pass</v>
      </c>
    </row>
    <row r="574" spans="1:11" x14ac:dyDescent="0.25">
      <c r="A574" t="str">
        <f>PROPER(TRIM('raw data'!A574))</f>
        <v>Female</v>
      </c>
      <c r="B574" t="str">
        <f>PROPER(TRIM('raw data'!B574))</f>
        <v>Group C</v>
      </c>
      <c r="C574" s="7" t="str">
        <f>PROPER(TRIM('raw data'!C574))</f>
        <v>Some College</v>
      </c>
      <c r="D574" s="7" t="str">
        <f>PROPER(TRIM('raw data'!D574))</f>
        <v>Standard</v>
      </c>
      <c r="E574" s="7" t="str">
        <f>PROPER(TRIM('raw data'!E574))</f>
        <v>None</v>
      </c>
      <c r="F574" s="8">
        <v>53</v>
      </c>
      <c r="G574" s="8">
        <v>62</v>
      </c>
      <c r="H574" s="8">
        <v>56</v>
      </c>
      <c r="I574">
        <f t="shared" si="24"/>
        <v>171</v>
      </c>
      <c r="J574">
        <f t="shared" si="25"/>
        <v>57</v>
      </c>
      <c r="K574" s="7" t="str">
        <f t="shared" si="26"/>
        <v>pass</v>
      </c>
    </row>
    <row r="575" spans="1:11" x14ac:dyDescent="0.25">
      <c r="A575" t="str">
        <f>PROPER(TRIM('raw data'!A575))</f>
        <v>Female</v>
      </c>
      <c r="B575" t="str">
        <f>PROPER(TRIM('raw data'!B575))</f>
        <v>Group C</v>
      </c>
      <c r="C575" s="7" t="str">
        <f>PROPER(TRIM('raw data'!C575))</f>
        <v>High School</v>
      </c>
      <c r="D575" s="7" t="str">
        <f>PROPER(TRIM('raw data'!D575))</f>
        <v>Free/Reduced</v>
      </c>
      <c r="E575" s="7" t="str">
        <f>PROPER(TRIM('raw data'!E575))</f>
        <v>Completed</v>
      </c>
      <c r="F575" s="8">
        <v>50</v>
      </c>
      <c r="G575" s="8">
        <v>66</v>
      </c>
      <c r="H575" s="8">
        <v>64</v>
      </c>
      <c r="I575">
        <f t="shared" si="24"/>
        <v>180</v>
      </c>
      <c r="J575">
        <f t="shared" si="25"/>
        <v>60</v>
      </c>
      <c r="K575" s="7" t="str">
        <f t="shared" si="26"/>
        <v>pass</v>
      </c>
    </row>
    <row r="576" spans="1:11" x14ac:dyDescent="0.25">
      <c r="A576" t="str">
        <f>PROPER(TRIM('raw data'!A576))</f>
        <v>Female</v>
      </c>
      <c r="B576" t="str">
        <f>PROPER(TRIM('raw data'!B576))</f>
        <v>Group E</v>
      </c>
      <c r="C576" s="7" t="str">
        <f>PROPER(TRIM('raw data'!C576))</f>
        <v>High School</v>
      </c>
      <c r="D576" s="7" t="str">
        <f>PROPER(TRIM('raw data'!D576))</f>
        <v>Standard</v>
      </c>
      <c r="E576" s="7" t="str">
        <f>PROPER(TRIM('raw data'!E576))</f>
        <v>None</v>
      </c>
      <c r="F576" s="8">
        <v>74</v>
      </c>
      <c r="G576" s="8">
        <v>81</v>
      </c>
      <c r="H576" s="8">
        <v>71</v>
      </c>
      <c r="I576">
        <f t="shared" si="24"/>
        <v>226</v>
      </c>
      <c r="J576">
        <f t="shared" si="25"/>
        <v>75.333333333333329</v>
      </c>
      <c r="K576" s="7" t="str">
        <f t="shared" si="26"/>
        <v>pass</v>
      </c>
    </row>
    <row r="577" spans="1:11" x14ac:dyDescent="0.25">
      <c r="A577" t="str">
        <f>PROPER(TRIM('raw data'!A577))</f>
        <v>Male</v>
      </c>
      <c r="B577" t="str">
        <f>PROPER(TRIM('raw data'!B577))</f>
        <v>Group A</v>
      </c>
      <c r="C577" s="7" t="str">
        <f>PROPER(TRIM('raw data'!C577))</f>
        <v>Associate'S Degree</v>
      </c>
      <c r="D577" s="7" t="str">
        <f>PROPER(TRIM('raw data'!D577))</f>
        <v>Free/Reduced</v>
      </c>
      <c r="E577" s="7" t="str">
        <f>PROPER(TRIM('raw data'!E577))</f>
        <v>Completed</v>
      </c>
      <c r="F577" s="8">
        <v>40</v>
      </c>
      <c r="G577" s="8">
        <v>55</v>
      </c>
      <c r="H577" s="8">
        <v>53</v>
      </c>
      <c r="I577">
        <f t="shared" si="24"/>
        <v>148</v>
      </c>
      <c r="J577">
        <f t="shared" si="25"/>
        <v>49.333333333333336</v>
      </c>
      <c r="K577" s="7" t="str">
        <f t="shared" si="26"/>
        <v>pass</v>
      </c>
    </row>
    <row r="578" spans="1:11" x14ac:dyDescent="0.25">
      <c r="A578" t="str">
        <f>PROPER(TRIM('raw data'!A578))</f>
        <v>Male</v>
      </c>
      <c r="B578" t="str">
        <f>PROPER(TRIM('raw data'!B578))</f>
        <v>Group A</v>
      </c>
      <c r="C578" s="7" t="str">
        <f>PROPER(TRIM('raw data'!C578))</f>
        <v>Some College</v>
      </c>
      <c r="D578" s="7" t="str">
        <f>PROPER(TRIM('raw data'!D578))</f>
        <v>Standard</v>
      </c>
      <c r="E578" s="7" t="str">
        <f>PROPER(TRIM('raw data'!E578))</f>
        <v>Completed</v>
      </c>
      <c r="F578" s="8">
        <v>61</v>
      </c>
      <c r="G578" s="8">
        <v>51</v>
      </c>
      <c r="H578" s="8">
        <v>52</v>
      </c>
      <c r="I578">
        <f t="shared" si="24"/>
        <v>164</v>
      </c>
      <c r="J578">
        <f t="shared" si="25"/>
        <v>54.666666666666664</v>
      </c>
      <c r="K578" s="7" t="str">
        <f t="shared" si="26"/>
        <v>pass</v>
      </c>
    </row>
    <row r="579" spans="1:11" x14ac:dyDescent="0.25">
      <c r="A579" t="str">
        <f>PROPER(TRIM('raw data'!A579))</f>
        <v>Female</v>
      </c>
      <c r="B579" t="str">
        <f>PROPER(TRIM('raw data'!B579))</f>
        <v>Group B</v>
      </c>
      <c r="C579" s="7" t="str">
        <f>PROPER(TRIM('raw data'!C579))</f>
        <v>High School</v>
      </c>
      <c r="D579" s="7" t="str">
        <f>PROPER(TRIM('raw data'!D579))</f>
        <v>Standard</v>
      </c>
      <c r="E579" s="7" t="str">
        <f>PROPER(TRIM('raw data'!E579))</f>
        <v>None</v>
      </c>
      <c r="F579" s="8">
        <v>81</v>
      </c>
      <c r="G579" s="8">
        <v>91</v>
      </c>
      <c r="H579" s="8">
        <v>89</v>
      </c>
      <c r="I579">
        <f t="shared" ref="I579:I642" si="27">F579+G579+H579</f>
        <v>261</v>
      </c>
      <c r="J579">
        <f t="shared" ref="J579:J642" si="28">I579/3</f>
        <v>87</v>
      </c>
      <c r="K579" s="7" t="str">
        <f t="shared" ref="K579:K642" si="29">IF(J579&gt;=40,"pass","fail")</f>
        <v>pass</v>
      </c>
    </row>
    <row r="580" spans="1:11" x14ac:dyDescent="0.25">
      <c r="A580" t="str">
        <f>PROPER(TRIM('raw data'!A580))</f>
        <v>Female</v>
      </c>
      <c r="B580" t="str">
        <f>PROPER(TRIM('raw data'!B580))</f>
        <v>Group B</v>
      </c>
      <c r="C580" s="7" t="str">
        <f>PROPER(TRIM('raw data'!C580))</f>
        <v>Some College</v>
      </c>
      <c r="D580" s="7" t="str">
        <f>PROPER(TRIM('raw data'!D580))</f>
        <v>Free/Reduced</v>
      </c>
      <c r="E580" s="7" t="str">
        <f>PROPER(TRIM('raw data'!E580))</f>
        <v>Completed</v>
      </c>
      <c r="F580" s="8">
        <v>48</v>
      </c>
      <c r="G580" s="8">
        <v>56</v>
      </c>
      <c r="H580" s="8">
        <v>58</v>
      </c>
      <c r="I580">
        <f t="shared" si="27"/>
        <v>162</v>
      </c>
      <c r="J580">
        <f t="shared" si="28"/>
        <v>54</v>
      </c>
      <c r="K580" s="7" t="str">
        <f t="shared" si="29"/>
        <v>pass</v>
      </c>
    </row>
    <row r="581" spans="1:11" x14ac:dyDescent="0.25">
      <c r="A581" t="str">
        <f>PROPER(TRIM('raw data'!A581))</f>
        <v>Female</v>
      </c>
      <c r="B581" t="str">
        <f>PROPER(TRIM('raw data'!B581))</f>
        <v>Group D</v>
      </c>
      <c r="C581" s="7" t="str">
        <f>PROPER(TRIM('raw data'!C581))</f>
        <v>Master'S Degree</v>
      </c>
      <c r="D581" s="7" t="str">
        <f>PROPER(TRIM('raw data'!D581))</f>
        <v>Standard</v>
      </c>
      <c r="E581" s="7" t="str">
        <f>PROPER(TRIM('raw data'!E581))</f>
        <v>None</v>
      </c>
      <c r="F581" s="8">
        <v>53</v>
      </c>
      <c r="G581" s="8">
        <v>61</v>
      </c>
      <c r="H581" s="8">
        <v>68</v>
      </c>
      <c r="I581">
        <f t="shared" si="27"/>
        <v>182</v>
      </c>
      <c r="J581">
        <f t="shared" si="28"/>
        <v>60.666666666666664</v>
      </c>
      <c r="K581" s="7" t="str">
        <f t="shared" si="29"/>
        <v>pass</v>
      </c>
    </row>
    <row r="582" spans="1:11" x14ac:dyDescent="0.25">
      <c r="A582" t="str">
        <f>PROPER(TRIM('raw data'!A582))</f>
        <v>Female</v>
      </c>
      <c r="B582" t="str">
        <f>PROPER(TRIM('raw data'!B582))</f>
        <v>Group D</v>
      </c>
      <c r="C582" s="7" t="str">
        <f>PROPER(TRIM('raw data'!C582))</f>
        <v>Some High School</v>
      </c>
      <c r="D582" s="7" t="str">
        <f>PROPER(TRIM('raw data'!D582))</f>
        <v>Standard</v>
      </c>
      <c r="E582" s="7" t="str">
        <f>PROPER(TRIM('raw data'!E582))</f>
        <v>None</v>
      </c>
      <c r="F582" s="8">
        <v>81</v>
      </c>
      <c r="G582" s="8">
        <v>97</v>
      </c>
      <c r="H582" s="8">
        <v>96</v>
      </c>
      <c r="I582">
        <f t="shared" si="27"/>
        <v>274</v>
      </c>
      <c r="J582">
        <f t="shared" si="28"/>
        <v>91.333333333333329</v>
      </c>
      <c r="K582" s="7" t="str">
        <f t="shared" si="29"/>
        <v>pass</v>
      </c>
    </row>
    <row r="583" spans="1:11" x14ac:dyDescent="0.25">
      <c r="A583" t="str">
        <f>PROPER(TRIM('raw data'!A583))</f>
        <v>Female</v>
      </c>
      <c r="B583" t="str">
        <f>PROPER(TRIM('raw data'!B583))</f>
        <v>Group E</v>
      </c>
      <c r="C583" s="7" t="str">
        <f>PROPER(TRIM('raw data'!C583))</f>
        <v>Some High School</v>
      </c>
      <c r="D583" s="7" t="str">
        <f>PROPER(TRIM('raw data'!D583))</f>
        <v>Standard</v>
      </c>
      <c r="E583" s="7" t="str">
        <f>PROPER(TRIM('raw data'!E583))</f>
        <v>None</v>
      </c>
      <c r="F583" s="8">
        <v>77</v>
      </c>
      <c r="G583" s="8">
        <v>79</v>
      </c>
      <c r="H583" s="8">
        <v>80</v>
      </c>
      <c r="I583">
        <f t="shared" si="27"/>
        <v>236</v>
      </c>
      <c r="J583">
        <f t="shared" si="28"/>
        <v>78.666666666666671</v>
      </c>
      <c r="K583" s="7" t="str">
        <f t="shared" si="29"/>
        <v>pass</v>
      </c>
    </row>
    <row r="584" spans="1:11" x14ac:dyDescent="0.25">
      <c r="A584" t="str">
        <f>PROPER(TRIM('raw data'!A584))</f>
        <v>Female</v>
      </c>
      <c r="B584" t="str">
        <f>PROPER(TRIM('raw data'!B584))</f>
        <v>Group D</v>
      </c>
      <c r="C584" s="7" t="str">
        <f>PROPER(TRIM('raw data'!C584))</f>
        <v>Bachelor'S Degree</v>
      </c>
      <c r="D584" s="7" t="str">
        <f>PROPER(TRIM('raw data'!D584))</f>
        <v>Free/Reduced</v>
      </c>
      <c r="E584" s="7" t="str">
        <f>PROPER(TRIM('raw data'!E584))</f>
        <v>None</v>
      </c>
      <c r="F584" s="8">
        <v>63</v>
      </c>
      <c r="G584" s="8">
        <v>73</v>
      </c>
      <c r="H584" s="8">
        <v>78</v>
      </c>
      <c r="I584">
        <f t="shared" si="27"/>
        <v>214</v>
      </c>
      <c r="J584">
        <f t="shared" si="28"/>
        <v>71.333333333333329</v>
      </c>
      <c r="K584" s="7" t="str">
        <f t="shared" si="29"/>
        <v>pass</v>
      </c>
    </row>
    <row r="585" spans="1:11" x14ac:dyDescent="0.25">
      <c r="A585" t="str">
        <f>PROPER(TRIM('raw data'!A585))</f>
        <v>Female</v>
      </c>
      <c r="B585" t="str">
        <f>PROPER(TRIM('raw data'!B585))</f>
        <v>Group D</v>
      </c>
      <c r="C585" s="7" t="str">
        <f>PROPER(TRIM('raw data'!C585))</f>
        <v>Associate'S Degree</v>
      </c>
      <c r="D585" s="7" t="str">
        <f>PROPER(TRIM('raw data'!D585))</f>
        <v>Standard</v>
      </c>
      <c r="E585" s="7" t="str">
        <f>PROPER(TRIM('raw data'!E585))</f>
        <v>Completed</v>
      </c>
      <c r="F585" s="8">
        <v>73</v>
      </c>
      <c r="G585" s="8">
        <v>75</v>
      </c>
      <c r="H585" s="8">
        <v>80</v>
      </c>
      <c r="I585">
        <f t="shared" si="27"/>
        <v>228</v>
      </c>
      <c r="J585">
        <f t="shared" si="28"/>
        <v>76</v>
      </c>
      <c r="K585" s="7" t="str">
        <f t="shared" si="29"/>
        <v>pass</v>
      </c>
    </row>
    <row r="586" spans="1:11" x14ac:dyDescent="0.25">
      <c r="A586" t="str">
        <f>PROPER(TRIM('raw data'!A586))</f>
        <v>Female</v>
      </c>
      <c r="B586" t="str">
        <f>PROPER(TRIM('raw data'!B586))</f>
        <v>Group D</v>
      </c>
      <c r="C586" s="7" t="str">
        <f>PROPER(TRIM('raw data'!C586))</f>
        <v>Some College</v>
      </c>
      <c r="D586" s="7" t="str">
        <f>PROPER(TRIM('raw data'!D586))</f>
        <v>Standard</v>
      </c>
      <c r="E586" s="7" t="str">
        <f>PROPER(TRIM('raw data'!E586))</f>
        <v>None</v>
      </c>
      <c r="F586" s="8">
        <v>69</v>
      </c>
      <c r="G586" s="8">
        <v>77</v>
      </c>
      <c r="H586" s="8">
        <v>77</v>
      </c>
      <c r="I586">
        <f t="shared" si="27"/>
        <v>223</v>
      </c>
      <c r="J586">
        <f t="shared" si="28"/>
        <v>74.333333333333329</v>
      </c>
      <c r="K586" s="7" t="str">
        <f t="shared" si="29"/>
        <v>pass</v>
      </c>
    </row>
    <row r="587" spans="1:11" x14ac:dyDescent="0.25">
      <c r="A587" t="str">
        <f>PROPER(TRIM('raw data'!A587))</f>
        <v>Female</v>
      </c>
      <c r="B587" t="str">
        <f>PROPER(TRIM('raw data'!B587))</f>
        <v>Group C</v>
      </c>
      <c r="C587" s="7" t="str">
        <f>PROPER(TRIM('raw data'!C587))</f>
        <v>Associate'S Degree</v>
      </c>
      <c r="D587" s="7" t="str">
        <f>PROPER(TRIM('raw data'!D587))</f>
        <v>Standard</v>
      </c>
      <c r="E587" s="7" t="str">
        <f>PROPER(TRIM('raw data'!E587))</f>
        <v>None</v>
      </c>
      <c r="F587" s="8">
        <v>65</v>
      </c>
      <c r="G587" s="8">
        <v>76</v>
      </c>
      <c r="H587" s="8">
        <v>76</v>
      </c>
      <c r="I587">
        <f t="shared" si="27"/>
        <v>217</v>
      </c>
      <c r="J587">
        <f t="shared" si="28"/>
        <v>72.333333333333329</v>
      </c>
      <c r="K587" s="7" t="str">
        <f t="shared" si="29"/>
        <v>pass</v>
      </c>
    </row>
    <row r="588" spans="1:11" x14ac:dyDescent="0.25">
      <c r="A588" t="str">
        <f>PROPER(TRIM('raw data'!A588))</f>
        <v>Female</v>
      </c>
      <c r="B588" t="str">
        <f>PROPER(TRIM('raw data'!B588))</f>
        <v>Group A</v>
      </c>
      <c r="C588" s="7" t="str">
        <f>PROPER(TRIM('raw data'!C588))</f>
        <v>High School</v>
      </c>
      <c r="D588" s="7" t="str">
        <f>PROPER(TRIM('raw data'!D588))</f>
        <v>Standard</v>
      </c>
      <c r="E588" s="7" t="str">
        <f>PROPER(TRIM('raw data'!E588))</f>
        <v>None</v>
      </c>
      <c r="F588" s="8">
        <v>55</v>
      </c>
      <c r="G588" s="8">
        <v>73</v>
      </c>
      <c r="H588" s="8">
        <v>73</v>
      </c>
      <c r="I588">
        <f t="shared" si="27"/>
        <v>201</v>
      </c>
      <c r="J588">
        <f t="shared" si="28"/>
        <v>67</v>
      </c>
      <c r="K588" s="7" t="str">
        <f t="shared" si="29"/>
        <v>pass</v>
      </c>
    </row>
    <row r="589" spans="1:11" x14ac:dyDescent="0.25">
      <c r="A589" t="str">
        <f>PROPER(TRIM('raw data'!A589))</f>
        <v>Female</v>
      </c>
      <c r="B589" t="str">
        <f>PROPER(TRIM('raw data'!B589))</f>
        <v>Group C</v>
      </c>
      <c r="C589" s="7" t="str">
        <f>PROPER(TRIM('raw data'!C589))</f>
        <v>Bachelor'S Degree</v>
      </c>
      <c r="D589" s="7" t="str">
        <f>PROPER(TRIM('raw data'!D589))</f>
        <v>Free/Reduced</v>
      </c>
      <c r="E589" s="7" t="str">
        <f>PROPER(TRIM('raw data'!E589))</f>
        <v>None</v>
      </c>
      <c r="F589" s="8">
        <v>44</v>
      </c>
      <c r="G589" s="8">
        <v>63</v>
      </c>
      <c r="H589" s="8">
        <v>62</v>
      </c>
      <c r="I589">
        <f t="shared" si="27"/>
        <v>169</v>
      </c>
      <c r="J589">
        <f t="shared" si="28"/>
        <v>56.333333333333336</v>
      </c>
      <c r="K589" s="7" t="str">
        <f t="shared" si="29"/>
        <v>pass</v>
      </c>
    </row>
    <row r="590" spans="1:11" x14ac:dyDescent="0.25">
      <c r="A590" t="str">
        <f>PROPER(TRIM('raw data'!A590))</f>
        <v>Female</v>
      </c>
      <c r="B590" t="str">
        <f>PROPER(TRIM('raw data'!B590))</f>
        <v>Group C</v>
      </c>
      <c r="C590" s="7" t="str">
        <f>PROPER(TRIM('raw data'!C590))</f>
        <v>Some College</v>
      </c>
      <c r="D590" s="7" t="str">
        <f>PROPER(TRIM('raw data'!D590))</f>
        <v>Standard</v>
      </c>
      <c r="E590" s="7" t="str">
        <f>PROPER(TRIM('raw data'!E590))</f>
        <v>None</v>
      </c>
      <c r="F590" s="8">
        <v>54</v>
      </c>
      <c r="G590" s="8">
        <v>64</v>
      </c>
      <c r="H590" s="8">
        <v>65</v>
      </c>
      <c r="I590">
        <f t="shared" si="27"/>
        <v>183</v>
      </c>
      <c r="J590">
        <f t="shared" si="28"/>
        <v>61</v>
      </c>
      <c r="K590" s="7" t="str">
        <f t="shared" si="29"/>
        <v>pass</v>
      </c>
    </row>
    <row r="591" spans="1:11" x14ac:dyDescent="0.25">
      <c r="A591" t="str">
        <f>PROPER(TRIM('raw data'!A591))</f>
        <v>Female</v>
      </c>
      <c r="B591" t="str">
        <f>PROPER(TRIM('raw data'!B591))</f>
        <v>Group A</v>
      </c>
      <c r="C591" s="7" t="str">
        <f>PROPER(TRIM('raw data'!C591))</f>
        <v>Some High School</v>
      </c>
      <c r="D591" s="7" t="str">
        <f>PROPER(TRIM('raw data'!D591))</f>
        <v>Standard</v>
      </c>
      <c r="E591" s="7" t="str">
        <f>PROPER(TRIM('raw data'!E591))</f>
        <v>None</v>
      </c>
      <c r="F591" s="8">
        <v>48</v>
      </c>
      <c r="G591" s="8">
        <v>66</v>
      </c>
      <c r="H591" s="8">
        <v>65</v>
      </c>
      <c r="I591">
        <f t="shared" si="27"/>
        <v>179</v>
      </c>
      <c r="J591">
        <f t="shared" si="28"/>
        <v>59.666666666666664</v>
      </c>
      <c r="K591" s="7" t="str">
        <f t="shared" si="29"/>
        <v>pass</v>
      </c>
    </row>
    <row r="592" spans="1:11" x14ac:dyDescent="0.25">
      <c r="A592" t="str">
        <f>PROPER(TRIM('raw data'!A592))</f>
        <v>Male</v>
      </c>
      <c r="B592" t="str">
        <f>PROPER(TRIM('raw data'!B592))</f>
        <v>Group C</v>
      </c>
      <c r="C592" s="7" t="str">
        <f>PROPER(TRIM('raw data'!C592))</f>
        <v>Some College</v>
      </c>
      <c r="D592" s="7" t="str">
        <f>PROPER(TRIM('raw data'!D592))</f>
        <v>Free/Reduced</v>
      </c>
      <c r="E592" s="7" t="str">
        <f>PROPER(TRIM('raw data'!E592))</f>
        <v>None</v>
      </c>
      <c r="F592" s="8">
        <v>58</v>
      </c>
      <c r="G592" s="8">
        <v>57</v>
      </c>
      <c r="H592" s="8">
        <v>54</v>
      </c>
      <c r="I592">
        <f t="shared" si="27"/>
        <v>169</v>
      </c>
      <c r="J592">
        <f t="shared" si="28"/>
        <v>56.333333333333336</v>
      </c>
      <c r="K592" s="7" t="str">
        <f t="shared" si="29"/>
        <v>pass</v>
      </c>
    </row>
    <row r="593" spans="1:11" x14ac:dyDescent="0.25">
      <c r="A593" t="str">
        <f>PROPER(TRIM('raw data'!A593))</f>
        <v>Male</v>
      </c>
      <c r="B593" t="str">
        <f>PROPER(TRIM('raw data'!B593))</f>
        <v>Group A</v>
      </c>
      <c r="C593" s="7" t="str">
        <f>PROPER(TRIM('raw data'!C593))</f>
        <v>Some High School</v>
      </c>
      <c r="D593" s="7" t="str">
        <f>PROPER(TRIM('raw data'!D593))</f>
        <v>Standard</v>
      </c>
      <c r="E593" s="7" t="str">
        <f>PROPER(TRIM('raw data'!E593))</f>
        <v>None</v>
      </c>
      <c r="F593" s="8">
        <v>71</v>
      </c>
      <c r="G593" s="8">
        <v>62</v>
      </c>
      <c r="H593" s="8">
        <v>50</v>
      </c>
      <c r="I593">
        <f t="shared" si="27"/>
        <v>183</v>
      </c>
      <c r="J593">
        <f t="shared" si="28"/>
        <v>61</v>
      </c>
      <c r="K593" s="7" t="str">
        <f t="shared" si="29"/>
        <v>pass</v>
      </c>
    </row>
    <row r="594" spans="1:11" x14ac:dyDescent="0.25">
      <c r="A594" t="str">
        <f>PROPER(TRIM('raw data'!A594))</f>
        <v>Male</v>
      </c>
      <c r="B594" t="str">
        <f>PROPER(TRIM('raw data'!B594))</f>
        <v>Group E</v>
      </c>
      <c r="C594" s="7" t="str">
        <f>PROPER(TRIM('raw data'!C594))</f>
        <v>Bachelor'S Degree</v>
      </c>
      <c r="D594" s="7" t="str">
        <f>PROPER(TRIM('raw data'!D594))</f>
        <v>Standard</v>
      </c>
      <c r="E594" s="7" t="str">
        <f>PROPER(TRIM('raw data'!E594))</f>
        <v>None</v>
      </c>
      <c r="F594" s="8">
        <v>68</v>
      </c>
      <c r="G594" s="8">
        <v>68</v>
      </c>
      <c r="H594" s="8">
        <v>64</v>
      </c>
      <c r="I594">
        <f t="shared" si="27"/>
        <v>200</v>
      </c>
      <c r="J594">
        <f t="shared" si="28"/>
        <v>66.666666666666671</v>
      </c>
      <c r="K594" s="7" t="str">
        <f t="shared" si="29"/>
        <v>pass</v>
      </c>
    </row>
    <row r="595" spans="1:11" x14ac:dyDescent="0.25">
      <c r="A595" t="str">
        <f>PROPER(TRIM('raw data'!A595))</f>
        <v>Female</v>
      </c>
      <c r="B595" t="str">
        <f>PROPER(TRIM('raw data'!B595))</f>
        <v>Group E</v>
      </c>
      <c r="C595" s="7" t="str">
        <f>PROPER(TRIM('raw data'!C595))</f>
        <v>High School</v>
      </c>
      <c r="D595" s="7" t="str">
        <f>PROPER(TRIM('raw data'!D595))</f>
        <v>Standard</v>
      </c>
      <c r="E595" s="7" t="str">
        <f>PROPER(TRIM('raw data'!E595))</f>
        <v>None</v>
      </c>
      <c r="F595" s="8">
        <v>74</v>
      </c>
      <c r="G595" s="8">
        <v>76</v>
      </c>
      <c r="H595" s="8">
        <v>73</v>
      </c>
      <c r="I595">
        <f t="shared" si="27"/>
        <v>223</v>
      </c>
      <c r="J595">
        <f t="shared" si="28"/>
        <v>74.333333333333329</v>
      </c>
      <c r="K595" s="7" t="str">
        <f t="shared" si="29"/>
        <v>pass</v>
      </c>
    </row>
    <row r="596" spans="1:11" x14ac:dyDescent="0.25">
      <c r="A596" t="str">
        <f>PROPER(TRIM('raw data'!A596))</f>
        <v>Female</v>
      </c>
      <c r="B596" t="str">
        <f>PROPER(TRIM('raw data'!B596))</f>
        <v>Group C</v>
      </c>
      <c r="C596" s="7" t="str">
        <f>PROPER(TRIM('raw data'!C596))</f>
        <v>Bachelor'S Degree</v>
      </c>
      <c r="D596" s="7" t="str">
        <f>PROPER(TRIM('raw data'!D596))</f>
        <v>Standard</v>
      </c>
      <c r="E596" s="7" t="str">
        <f>PROPER(TRIM('raw data'!E596))</f>
        <v>Completed</v>
      </c>
      <c r="F596" s="8">
        <v>92</v>
      </c>
      <c r="G596" s="8">
        <v>100</v>
      </c>
      <c r="H596" s="8">
        <v>99</v>
      </c>
      <c r="I596">
        <f t="shared" si="27"/>
        <v>291</v>
      </c>
      <c r="J596">
        <f t="shared" si="28"/>
        <v>97</v>
      </c>
      <c r="K596" s="7" t="str">
        <f t="shared" si="29"/>
        <v>pass</v>
      </c>
    </row>
    <row r="597" spans="1:11" x14ac:dyDescent="0.25">
      <c r="A597" t="str">
        <f>PROPER(TRIM('raw data'!A597))</f>
        <v>Female</v>
      </c>
      <c r="B597" t="str">
        <f>PROPER(TRIM('raw data'!B597))</f>
        <v>Group C</v>
      </c>
      <c r="C597" s="7" t="str">
        <f>PROPER(TRIM('raw data'!C597))</f>
        <v>Bachelor'S Degree</v>
      </c>
      <c r="D597" s="7" t="str">
        <f>PROPER(TRIM('raw data'!D597))</f>
        <v>Standard</v>
      </c>
      <c r="E597" s="7" t="str">
        <f>PROPER(TRIM('raw data'!E597))</f>
        <v>Completed</v>
      </c>
      <c r="F597" s="8">
        <v>56</v>
      </c>
      <c r="G597" s="8">
        <v>79</v>
      </c>
      <c r="H597" s="8">
        <v>72</v>
      </c>
      <c r="I597">
        <f t="shared" si="27"/>
        <v>207</v>
      </c>
      <c r="J597">
        <f t="shared" si="28"/>
        <v>69</v>
      </c>
      <c r="K597" s="7" t="str">
        <f t="shared" si="29"/>
        <v>pass</v>
      </c>
    </row>
    <row r="598" spans="1:11" x14ac:dyDescent="0.25">
      <c r="A598" t="str">
        <f>PROPER(TRIM('raw data'!A598))</f>
        <v>Male</v>
      </c>
      <c r="B598" t="str">
        <f>PROPER(TRIM('raw data'!B598))</f>
        <v>Group B</v>
      </c>
      <c r="C598" s="7" t="str">
        <f>PROPER(TRIM('raw data'!C598))</f>
        <v>High School</v>
      </c>
      <c r="D598" s="7" t="str">
        <f>PROPER(TRIM('raw data'!D598))</f>
        <v>Free/Reduced</v>
      </c>
      <c r="E598" s="7" t="str">
        <f>PROPER(TRIM('raw data'!E598))</f>
        <v>None</v>
      </c>
      <c r="F598" s="8">
        <v>30</v>
      </c>
      <c r="G598" s="8">
        <v>24</v>
      </c>
      <c r="H598" s="8">
        <v>15</v>
      </c>
      <c r="I598">
        <f t="shared" si="27"/>
        <v>69</v>
      </c>
      <c r="J598">
        <f t="shared" si="28"/>
        <v>23</v>
      </c>
      <c r="K598" s="7" t="str">
        <f t="shared" si="29"/>
        <v>fail</v>
      </c>
    </row>
    <row r="599" spans="1:11" x14ac:dyDescent="0.25">
      <c r="A599" t="str">
        <f>PROPER(TRIM('raw data'!A599))</f>
        <v>Male</v>
      </c>
      <c r="B599" t="str">
        <f>PROPER(TRIM('raw data'!B599))</f>
        <v>Group A</v>
      </c>
      <c r="C599" s="7" t="str">
        <f>PROPER(TRIM('raw data'!C599))</f>
        <v>Some High School</v>
      </c>
      <c r="D599" s="7" t="str">
        <f>PROPER(TRIM('raw data'!D599))</f>
        <v>Standard</v>
      </c>
      <c r="E599" s="7" t="str">
        <f>PROPER(TRIM('raw data'!E599))</f>
        <v>None</v>
      </c>
      <c r="F599" s="8">
        <v>53</v>
      </c>
      <c r="G599" s="8">
        <v>54</v>
      </c>
      <c r="H599" s="8">
        <v>48</v>
      </c>
      <c r="I599">
        <f t="shared" si="27"/>
        <v>155</v>
      </c>
      <c r="J599">
        <f t="shared" si="28"/>
        <v>51.666666666666664</v>
      </c>
      <c r="K599" s="7" t="str">
        <f t="shared" si="29"/>
        <v>pass</v>
      </c>
    </row>
    <row r="600" spans="1:11" x14ac:dyDescent="0.25">
      <c r="A600" t="str">
        <f>PROPER(TRIM('raw data'!A600))</f>
        <v>Female</v>
      </c>
      <c r="B600" t="str">
        <f>PROPER(TRIM('raw data'!B600))</f>
        <v>Group D</v>
      </c>
      <c r="C600" s="7" t="str">
        <f>PROPER(TRIM('raw data'!C600))</f>
        <v>High School</v>
      </c>
      <c r="D600" s="7" t="str">
        <f>PROPER(TRIM('raw data'!D600))</f>
        <v>Standard</v>
      </c>
      <c r="E600" s="7" t="str">
        <f>PROPER(TRIM('raw data'!E600))</f>
        <v>None</v>
      </c>
      <c r="F600" s="8">
        <v>69</v>
      </c>
      <c r="G600" s="8">
        <v>77</v>
      </c>
      <c r="H600" s="8">
        <v>73</v>
      </c>
      <c r="I600">
        <f t="shared" si="27"/>
        <v>219</v>
      </c>
      <c r="J600">
        <f t="shared" si="28"/>
        <v>73</v>
      </c>
      <c r="K600" s="7" t="str">
        <f t="shared" si="29"/>
        <v>pass</v>
      </c>
    </row>
    <row r="601" spans="1:11" x14ac:dyDescent="0.25">
      <c r="A601" t="str">
        <f>PROPER(TRIM('raw data'!A601))</f>
        <v>Female</v>
      </c>
      <c r="B601" t="str">
        <f>PROPER(TRIM('raw data'!B601))</f>
        <v>Group D</v>
      </c>
      <c r="C601" s="7" t="str">
        <f>PROPER(TRIM('raw data'!C601))</f>
        <v>Some High School</v>
      </c>
      <c r="D601" s="7" t="str">
        <f>PROPER(TRIM('raw data'!D601))</f>
        <v>Standard</v>
      </c>
      <c r="E601" s="7" t="str">
        <f>PROPER(TRIM('raw data'!E601))</f>
        <v>None</v>
      </c>
      <c r="F601" s="8">
        <v>65</v>
      </c>
      <c r="G601" s="8">
        <v>82</v>
      </c>
      <c r="H601" s="8">
        <v>81</v>
      </c>
      <c r="I601">
        <f t="shared" si="27"/>
        <v>228</v>
      </c>
      <c r="J601">
        <f t="shared" si="28"/>
        <v>76</v>
      </c>
      <c r="K601" s="7" t="str">
        <f t="shared" si="29"/>
        <v>pass</v>
      </c>
    </row>
    <row r="602" spans="1:11" x14ac:dyDescent="0.25">
      <c r="A602" t="str">
        <f>PROPER(TRIM('raw data'!A602))</f>
        <v>Female</v>
      </c>
      <c r="B602" t="str">
        <f>PROPER(TRIM('raw data'!B602))</f>
        <v>Group D</v>
      </c>
      <c r="C602" s="7" t="str">
        <f>PROPER(TRIM('raw data'!C602))</f>
        <v>Master'S Degree</v>
      </c>
      <c r="D602" s="7" t="str">
        <f>PROPER(TRIM('raw data'!D602))</f>
        <v>Standard</v>
      </c>
      <c r="E602" s="7" t="str">
        <f>PROPER(TRIM('raw data'!E602))</f>
        <v>None</v>
      </c>
      <c r="F602" s="8">
        <v>54</v>
      </c>
      <c r="G602" s="8">
        <v>60</v>
      </c>
      <c r="H602" s="8">
        <v>63</v>
      </c>
      <c r="I602">
        <f t="shared" si="27"/>
        <v>177</v>
      </c>
      <c r="J602">
        <f t="shared" si="28"/>
        <v>59</v>
      </c>
      <c r="K602" s="7" t="str">
        <f t="shared" si="29"/>
        <v>pass</v>
      </c>
    </row>
    <row r="603" spans="1:11" x14ac:dyDescent="0.25">
      <c r="A603" t="str">
        <f>PROPER(TRIM('raw data'!A603))</f>
        <v>Female</v>
      </c>
      <c r="B603" t="str">
        <f>PROPER(TRIM('raw data'!B603))</f>
        <v>Group C</v>
      </c>
      <c r="C603" s="7" t="str">
        <f>PROPER(TRIM('raw data'!C603))</f>
        <v>High School</v>
      </c>
      <c r="D603" s="7" t="str">
        <f>PROPER(TRIM('raw data'!D603))</f>
        <v>Standard</v>
      </c>
      <c r="E603" s="7" t="str">
        <f>PROPER(TRIM('raw data'!E603))</f>
        <v>None</v>
      </c>
      <c r="F603" s="8">
        <v>29</v>
      </c>
      <c r="G603" s="8">
        <v>29</v>
      </c>
      <c r="H603" s="8">
        <v>30</v>
      </c>
      <c r="I603">
        <f t="shared" si="27"/>
        <v>88</v>
      </c>
      <c r="J603">
        <f t="shared" si="28"/>
        <v>29.333333333333332</v>
      </c>
      <c r="K603" s="7" t="str">
        <f t="shared" si="29"/>
        <v>fail</v>
      </c>
    </row>
    <row r="604" spans="1:11" x14ac:dyDescent="0.25">
      <c r="A604" t="str">
        <f>PROPER(TRIM('raw data'!A604))</f>
        <v>Female</v>
      </c>
      <c r="B604" t="str">
        <f>PROPER(TRIM('raw data'!B604))</f>
        <v>Group E</v>
      </c>
      <c r="C604" s="7" t="str">
        <f>PROPER(TRIM('raw data'!C604))</f>
        <v>Some College</v>
      </c>
      <c r="D604" s="7" t="str">
        <f>PROPER(TRIM('raw data'!D604))</f>
        <v>Standard</v>
      </c>
      <c r="E604" s="7" t="str">
        <f>PROPER(TRIM('raw data'!E604))</f>
        <v>None</v>
      </c>
      <c r="F604" s="8">
        <v>76</v>
      </c>
      <c r="G604" s="8">
        <v>78</v>
      </c>
      <c r="H604" s="8">
        <v>80</v>
      </c>
      <c r="I604">
        <f t="shared" si="27"/>
        <v>234</v>
      </c>
      <c r="J604">
        <f t="shared" si="28"/>
        <v>78</v>
      </c>
      <c r="K604" s="7" t="str">
        <f t="shared" si="29"/>
        <v>pass</v>
      </c>
    </row>
    <row r="605" spans="1:11" x14ac:dyDescent="0.25">
      <c r="A605" t="str">
        <f>PROPER(TRIM('raw data'!A605))</f>
        <v>Male</v>
      </c>
      <c r="B605" t="str">
        <f>PROPER(TRIM('raw data'!B605))</f>
        <v>Group D</v>
      </c>
      <c r="C605" s="7" t="str">
        <f>PROPER(TRIM('raw data'!C605))</f>
        <v>High School</v>
      </c>
      <c r="D605" s="7" t="str">
        <f>PROPER(TRIM('raw data'!D605))</f>
        <v>Free/Reduced</v>
      </c>
      <c r="E605" s="7" t="str">
        <f>PROPER(TRIM('raw data'!E605))</f>
        <v>None</v>
      </c>
      <c r="F605" s="8">
        <v>60</v>
      </c>
      <c r="G605" s="8">
        <v>57</v>
      </c>
      <c r="H605" s="8">
        <v>51</v>
      </c>
      <c r="I605">
        <f t="shared" si="27"/>
        <v>168</v>
      </c>
      <c r="J605">
        <f t="shared" si="28"/>
        <v>56</v>
      </c>
      <c r="K605" s="7" t="str">
        <f t="shared" si="29"/>
        <v>pass</v>
      </c>
    </row>
    <row r="606" spans="1:11" x14ac:dyDescent="0.25">
      <c r="A606" t="str">
        <f>PROPER(TRIM('raw data'!A606))</f>
        <v>Male</v>
      </c>
      <c r="B606" t="str">
        <f>PROPER(TRIM('raw data'!B606))</f>
        <v>Group D</v>
      </c>
      <c r="C606" s="7" t="str">
        <f>PROPER(TRIM('raw data'!C606))</f>
        <v>Master'S Degree</v>
      </c>
      <c r="D606" s="7" t="str">
        <f>PROPER(TRIM('raw data'!D606))</f>
        <v>Free/Reduced</v>
      </c>
      <c r="E606" s="7" t="str">
        <f>PROPER(TRIM('raw data'!E606))</f>
        <v>Completed</v>
      </c>
      <c r="F606" s="8">
        <v>84</v>
      </c>
      <c r="G606" s="8">
        <v>89</v>
      </c>
      <c r="H606" s="8">
        <v>90</v>
      </c>
      <c r="I606">
        <f t="shared" si="27"/>
        <v>263</v>
      </c>
      <c r="J606">
        <f t="shared" si="28"/>
        <v>87.666666666666671</v>
      </c>
      <c r="K606" s="7" t="str">
        <f t="shared" si="29"/>
        <v>pass</v>
      </c>
    </row>
    <row r="607" spans="1:11" x14ac:dyDescent="0.25">
      <c r="A607" t="str">
        <f>PROPER(TRIM('raw data'!A607))</f>
        <v>Male</v>
      </c>
      <c r="B607" t="str">
        <f>PROPER(TRIM('raw data'!B607))</f>
        <v>Group C</v>
      </c>
      <c r="C607" s="7" t="str">
        <f>PROPER(TRIM('raw data'!C607))</f>
        <v>Some High School</v>
      </c>
      <c r="D607" s="7" t="str">
        <f>PROPER(TRIM('raw data'!D607))</f>
        <v>Standard</v>
      </c>
      <c r="E607" s="7" t="str">
        <f>PROPER(TRIM('raw data'!E607))</f>
        <v>None</v>
      </c>
      <c r="F607" s="8">
        <v>75</v>
      </c>
      <c r="G607" s="8">
        <v>72</v>
      </c>
      <c r="H607" s="8">
        <v>62</v>
      </c>
      <c r="I607">
        <f t="shared" si="27"/>
        <v>209</v>
      </c>
      <c r="J607">
        <f t="shared" si="28"/>
        <v>69.666666666666671</v>
      </c>
      <c r="K607" s="7" t="str">
        <f t="shared" si="29"/>
        <v>pass</v>
      </c>
    </row>
    <row r="608" spans="1:11" x14ac:dyDescent="0.25">
      <c r="A608" t="str">
        <f>PROPER(TRIM('raw data'!A608))</f>
        <v>Female</v>
      </c>
      <c r="B608" t="str">
        <f>PROPER(TRIM('raw data'!B608))</f>
        <v>Group C</v>
      </c>
      <c r="C608" s="7" t="str">
        <f>PROPER(TRIM('raw data'!C608))</f>
        <v>Associate'S Degree</v>
      </c>
      <c r="D608" s="7" t="str">
        <f>PROPER(TRIM('raw data'!D608))</f>
        <v>Standard</v>
      </c>
      <c r="E608" s="7" t="str">
        <f>PROPER(TRIM('raw data'!E608))</f>
        <v>None</v>
      </c>
      <c r="F608" s="8">
        <v>85</v>
      </c>
      <c r="G608" s="8">
        <v>84</v>
      </c>
      <c r="H608" s="8">
        <v>82</v>
      </c>
      <c r="I608">
        <f t="shared" si="27"/>
        <v>251</v>
      </c>
      <c r="J608">
        <f t="shared" si="28"/>
        <v>83.666666666666671</v>
      </c>
      <c r="K608" s="7" t="str">
        <f t="shared" si="29"/>
        <v>pass</v>
      </c>
    </row>
    <row r="609" spans="1:11" x14ac:dyDescent="0.25">
      <c r="A609" t="str">
        <f>PROPER(TRIM('raw data'!A609))</f>
        <v>Female</v>
      </c>
      <c r="B609" t="str">
        <f>PROPER(TRIM('raw data'!B609))</f>
        <v>Group C</v>
      </c>
      <c r="C609" s="7" t="str">
        <f>PROPER(TRIM('raw data'!C609))</f>
        <v>Master'S Degree</v>
      </c>
      <c r="D609" s="7" t="str">
        <f>PROPER(TRIM('raw data'!D609))</f>
        <v>Free/Reduced</v>
      </c>
      <c r="E609" s="7" t="str">
        <f>PROPER(TRIM('raw data'!E609))</f>
        <v>None</v>
      </c>
      <c r="F609" s="8">
        <v>40</v>
      </c>
      <c r="G609" s="8">
        <v>58</v>
      </c>
      <c r="H609" s="8">
        <v>54</v>
      </c>
      <c r="I609">
        <f t="shared" si="27"/>
        <v>152</v>
      </c>
      <c r="J609">
        <f t="shared" si="28"/>
        <v>50.666666666666664</v>
      </c>
      <c r="K609" s="7" t="str">
        <f t="shared" si="29"/>
        <v>pass</v>
      </c>
    </row>
    <row r="610" spans="1:11" x14ac:dyDescent="0.25">
      <c r="A610" t="str">
        <f>PROPER(TRIM('raw data'!A610))</f>
        <v>Female</v>
      </c>
      <c r="B610" t="str">
        <f>PROPER(TRIM('raw data'!B610))</f>
        <v>Group E</v>
      </c>
      <c r="C610" s="7" t="str">
        <f>PROPER(TRIM('raw data'!C610))</f>
        <v>Some College</v>
      </c>
      <c r="D610" s="7" t="str">
        <f>PROPER(TRIM('raw data'!D610))</f>
        <v>Standard</v>
      </c>
      <c r="E610" s="7" t="str">
        <f>PROPER(TRIM('raw data'!E610))</f>
        <v>None</v>
      </c>
      <c r="F610" s="8">
        <v>61</v>
      </c>
      <c r="G610" s="8">
        <v>64</v>
      </c>
      <c r="H610" s="8">
        <v>62</v>
      </c>
      <c r="I610">
        <f t="shared" si="27"/>
        <v>187</v>
      </c>
      <c r="J610">
        <f t="shared" si="28"/>
        <v>62.333333333333336</v>
      </c>
      <c r="K610" s="7" t="str">
        <f t="shared" si="29"/>
        <v>pass</v>
      </c>
    </row>
    <row r="611" spans="1:11" x14ac:dyDescent="0.25">
      <c r="A611" t="str">
        <f>PROPER(TRIM('raw data'!A611))</f>
        <v>Female</v>
      </c>
      <c r="B611" t="str">
        <f>PROPER(TRIM('raw data'!B611))</f>
        <v>Group B</v>
      </c>
      <c r="C611" s="7" t="str">
        <f>PROPER(TRIM('raw data'!C611))</f>
        <v>Associate'S Degree</v>
      </c>
      <c r="D611" s="7" t="str">
        <f>PROPER(TRIM('raw data'!D611))</f>
        <v>Standard</v>
      </c>
      <c r="E611" s="7" t="str">
        <f>PROPER(TRIM('raw data'!E611))</f>
        <v>None</v>
      </c>
      <c r="F611" s="8">
        <v>58</v>
      </c>
      <c r="G611" s="8">
        <v>63</v>
      </c>
      <c r="H611" s="8">
        <v>65</v>
      </c>
      <c r="I611">
        <f t="shared" si="27"/>
        <v>186</v>
      </c>
      <c r="J611">
        <f t="shared" si="28"/>
        <v>62</v>
      </c>
      <c r="K611" s="7" t="str">
        <f t="shared" si="29"/>
        <v>pass</v>
      </c>
    </row>
    <row r="612" spans="1:11" x14ac:dyDescent="0.25">
      <c r="A612" t="str">
        <f>PROPER(TRIM('raw data'!A612))</f>
        <v>Male</v>
      </c>
      <c r="B612" t="str">
        <f>PROPER(TRIM('raw data'!B612))</f>
        <v>Group D</v>
      </c>
      <c r="C612" s="7" t="str">
        <f>PROPER(TRIM('raw data'!C612))</f>
        <v>Some College</v>
      </c>
      <c r="D612" s="7" t="str">
        <f>PROPER(TRIM('raw data'!D612))</f>
        <v>Free/Reduced</v>
      </c>
      <c r="E612" s="7" t="str">
        <f>PROPER(TRIM('raw data'!E612))</f>
        <v>Completed</v>
      </c>
      <c r="F612" s="8">
        <v>69</v>
      </c>
      <c r="G612" s="8">
        <v>60</v>
      </c>
      <c r="H612" s="8">
        <v>63</v>
      </c>
      <c r="I612">
        <f t="shared" si="27"/>
        <v>192</v>
      </c>
      <c r="J612">
        <f t="shared" si="28"/>
        <v>64</v>
      </c>
      <c r="K612" s="7" t="str">
        <f t="shared" si="29"/>
        <v>pass</v>
      </c>
    </row>
    <row r="613" spans="1:11" x14ac:dyDescent="0.25">
      <c r="A613" t="str">
        <f>PROPER(TRIM('raw data'!A613))</f>
        <v>Female</v>
      </c>
      <c r="B613" t="str">
        <f>PROPER(TRIM('raw data'!B613))</f>
        <v>Group C</v>
      </c>
      <c r="C613" s="7" t="str">
        <f>PROPER(TRIM('raw data'!C613))</f>
        <v>Some College</v>
      </c>
      <c r="D613" s="7" t="str">
        <f>PROPER(TRIM('raw data'!D613))</f>
        <v>Standard</v>
      </c>
      <c r="E613" s="7" t="str">
        <f>PROPER(TRIM('raw data'!E613))</f>
        <v>None</v>
      </c>
      <c r="F613" s="8">
        <v>58</v>
      </c>
      <c r="G613" s="8">
        <v>59</v>
      </c>
      <c r="H613" s="8">
        <v>66</v>
      </c>
      <c r="I613">
        <f t="shared" si="27"/>
        <v>183</v>
      </c>
      <c r="J613">
        <f t="shared" si="28"/>
        <v>61</v>
      </c>
      <c r="K613" s="7" t="str">
        <f t="shared" si="29"/>
        <v>pass</v>
      </c>
    </row>
    <row r="614" spans="1:11" x14ac:dyDescent="0.25">
      <c r="A614" t="str">
        <f>PROPER(TRIM('raw data'!A614))</f>
        <v>Male</v>
      </c>
      <c r="B614" t="str">
        <f>PROPER(TRIM('raw data'!B614))</f>
        <v>Group C</v>
      </c>
      <c r="C614" s="7" t="str">
        <f>PROPER(TRIM('raw data'!C614))</f>
        <v>Bachelor'S Degree</v>
      </c>
      <c r="D614" s="7" t="str">
        <f>PROPER(TRIM('raw data'!D614))</f>
        <v>Standard</v>
      </c>
      <c r="E614" s="7" t="str">
        <f>PROPER(TRIM('raw data'!E614))</f>
        <v>Completed</v>
      </c>
      <c r="F614" s="8">
        <v>94</v>
      </c>
      <c r="G614" s="8">
        <v>90</v>
      </c>
      <c r="H614" s="8">
        <v>91</v>
      </c>
      <c r="I614">
        <f t="shared" si="27"/>
        <v>275</v>
      </c>
      <c r="J614">
        <f t="shared" si="28"/>
        <v>91.666666666666671</v>
      </c>
      <c r="K614" s="7" t="str">
        <f t="shared" si="29"/>
        <v>pass</v>
      </c>
    </row>
    <row r="615" spans="1:11" x14ac:dyDescent="0.25">
      <c r="A615" t="str">
        <f>PROPER(TRIM('raw data'!A615))</f>
        <v>Female</v>
      </c>
      <c r="B615" t="str">
        <f>PROPER(TRIM('raw data'!B615))</f>
        <v>Group C</v>
      </c>
      <c r="C615" s="7" t="str">
        <f>PROPER(TRIM('raw data'!C615))</f>
        <v>Associate'S Degree</v>
      </c>
      <c r="D615" s="7" t="str">
        <f>PROPER(TRIM('raw data'!D615))</f>
        <v>Standard</v>
      </c>
      <c r="E615" s="7" t="str">
        <f>PROPER(TRIM('raw data'!E615))</f>
        <v>None</v>
      </c>
      <c r="F615" s="8">
        <v>65</v>
      </c>
      <c r="G615" s="8">
        <v>77</v>
      </c>
      <c r="H615" s="8">
        <v>74</v>
      </c>
      <c r="I615">
        <f t="shared" si="27"/>
        <v>216</v>
      </c>
      <c r="J615">
        <f t="shared" si="28"/>
        <v>72</v>
      </c>
      <c r="K615" s="7" t="str">
        <f t="shared" si="29"/>
        <v>pass</v>
      </c>
    </row>
    <row r="616" spans="1:11" x14ac:dyDescent="0.25">
      <c r="A616" t="str">
        <f>PROPER(TRIM('raw data'!A616))</f>
        <v>Female</v>
      </c>
      <c r="B616" t="str">
        <f>PROPER(TRIM('raw data'!B616))</f>
        <v>Group A</v>
      </c>
      <c r="C616" s="7" t="str">
        <f>PROPER(TRIM('raw data'!C616))</f>
        <v>Associate'S Degree</v>
      </c>
      <c r="D616" s="7" t="str">
        <f>PROPER(TRIM('raw data'!D616))</f>
        <v>Standard</v>
      </c>
      <c r="E616" s="7" t="str">
        <f>PROPER(TRIM('raw data'!E616))</f>
        <v>None</v>
      </c>
      <c r="F616" s="8">
        <v>82</v>
      </c>
      <c r="G616" s="8">
        <v>93</v>
      </c>
      <c r="H616" s="8">
        <v>93</v>
      </c>
      <c r="I616">
        <f t="shared" si="27"/>
        <v>268</v>
      </c>
      <c r="J616">
        <f t="shared" si="28"/>
        <v>89.333333333333329</v>
      </c>
      <c r="K616" s="7" t="str">
        <f t="shared" si="29"/>
        <v>pass</v>
      </c>
    </row>
    <row r="617" spans="1:11" x14ac:dyDescent="0.25">
      <c r="A617" t="str">
        <f>PROPER(TRIM('raw data'!A617))</f>
        <v>Female</v>
      </c>
      <c r="B617" t="str">
        <f>PROPER(TRIM('raw data'!B617))</f>
        <v>Group C</v>
      </c>
      <c r="C617" s="7" t="str">
        <f>PROPER(TRIM('raw data'!C617))</f>
        <v>High School</v>
      </c>
      <c r="D617" s="7" t="str">
        <f>PROPER(TRIM('raw data'!D617))</f>
        <v>Standard</v>
      </c>
      <c r="E617" s="7" t="str">
        <f>PROPER(TRIM('raw data'!E617))</f>
        <v>None</v>
      </c>
      <c r="F617" s="8">
        <v>60</v>
      </c>
      <c r="G617" s="8">
        <v>68</v>
      </c>
      <c r="H617" s="8">
        <v>72</v>
      </c>
      <c r="I617">
        <f t="shared" si="27"/>
        <v>200</v>
      </c>
      <c r="J617">
        <f t="shared" si="28"/>
        <v>66.666666666666671</v>
      </c>
      <c r="K617" s="7" t="str">
        <f t="shared" si="29"/>
        <v>pass</v>
      </c>
    </row>
    <row r="618" spans="1:11" x14ac:dyDescent="0.25">
      <c r="A618" t="str">
        <f>PROPER(TRIM('raw data'!A618))</f>
        <v>Female</v>
      </c>
      <c r="B618" t="str">
        <f>PROPER(TRIM('raw data'!B618))</f>
        <v>Group E</v>
      </c>
      <c r="C618" s="7" t="str">
        <f>PROPER(TRIM('raw data'!C618))</f>
        <v>Bachelor'S Degree</v>
      </c>
      <c r="D618" s="7" t="str">
        <f>PROPER(TRIM('raw data'!D618))</f>
        <v>Standard</v>
      </c>
      <c r="E618" s="7" t="str">
        <f>PROPER(TRIM('raw data'!E618))</f>
        <v>None</v>
      </c>
      <c r="F618" s="8">
        <v>37</v>
      </c>
      <c r="G618" s="8">
        <v>45</v>
      </c>
      <c r="H618" s="8">
        <v>38</v>
      </c>
      <c r="I618">
        <f t="shared" si="27"/>
        <v>120</v>
      </c>
      <c r="J618">
        <f t="shared" si="28"/>
        <v>40</v>
      </c>
      <c r="K618" s="7" t="str">
        <f t="shared" si="29"/>
        <v>pass</v>
      </c>
    </row>
    <row r="619" spans="1:11" x14ac:dyDescent="0.25">
      <c r="A619" t="str">
        <f>PROPER(TRIM('raw data'!A619))</f>
        <v>Male</v>
      </c>
      <c r="B619" t="str">
        <f>PROPER(TRIM('raw data'!B619))</f>
        <v>Group D</v>
      </c>
      <c r="C619" s="7" t="str">
        <f>PROPER(TRIM('raw data'!C619))</f>
        <v>Bachelor'S Degree</v>
      </c>
      <c r="D619" s="7" t="str">
        <f>PROPER(TRIM('raw data'!D619))</f>
        <v>Standard</v>
      </c>
      <c r="E619" s="7" t="str">
        <f>PROPER(TRIM('raw data'!E619))</f>
        <v>None</v>
      </c>
      <c r="F619" s="8">
        <v>88</v>
      </c>
      <c r="G619" s="8">
        <v>78</v>
      </c>
      <c r="H619" s="8">
        <v>83</v>
      </c>
      <c r="I619">
        <f t="shared" si="27"/>
        <v>249</v>
      </c>
      <c r="J619">
        <f t="shared" si="28"/>
        <v>83</v>
      </c>
      <c r="K619" s="7" t="str">
        <f t="shared" si="29"/>
        <v>pass</v>
      </c>
    </row>
    <row r="620" spans="1:11" x14ac:dyDescent="0.25">
      <c r="A620" t="str">
        <f>PROPER(TRIM('raw data'!A620))</f>
        <v>Male</v>
      </c>
      <c r="B620" t="str">
        <f>PROPER(TRIM('raw data'!B620))</f>
        <v>Group D</v>
      </c>
      <c r="C620" s="7" t="str">
        <f>PROPER(TRIM('raw data'!C620))</f>
        <v>Master'S Degree</v>
      </c>
      <c r="D620" s="7" t="str">
        <f>PROPER(TRIM('raw data'!D620))</f>
        <v>Standard</v>
      </c>
      <c r="E620" s="7" t="str">
        <f>PROPER(TRIM('raw data'!E620))</f>
        <v>None</v>
      </c>
      <c r="F620" s="8">
        <v>95</v>
      </c>
      <c r="G620" s="8">
        <v>81</v>
      </c>
      <c r="H620" s="8">
        <v>84</v>
      </c>
      <c r="I620">
        <f t="shared" si="27"/>
        <v>260</v>
      </c>
      <c r="J620">
        <f t="shared" si="28"/>
        <v>86.666666666666671</v>
      </c>
      <c r="K620" s="7" t="str">
        <f t="shared" si="29"/>
        <v>pass</v>
      </c>
    </row>
    <row r="621" spans="1:11" x14ac:dyDescent="0.25">
      <c r="A621" t="str">
        <f>PROPER(TRIM('raw data'!A621))</f>
        <v>Male</v>
      </c>
      <c r="B621" t="str">
        <f>PROPER(TRIM('raw data'!B621))</f>
        <v>Group C</v>
      </c>
      <c r="C621" s="7" t="str">
        <f>PROPER(TRIM('raw data'!C621))</f>
        <v>Associate'S Degree</v>
      </c>
      <c r="D621" s="7" t="str">
        <f>PROPER(TRIM('raw data'!D621))</f>
        <v>Free/Reduced</v>
      </c>
      <c r="E621" s="7" t="str">
        <f>PROPER(TRIM('raw data'!E621))</f>
        <v>Completed</v>
      </c>
      <c r="F621" s="8">
        <v>65</v>
      </c>
      <c r="G621" s="8">
        <v>73</v>
      </c>
      <c r="H621" s="8">
        <v>68</v>
      </c>
      <c r="I621">
        <f t="shared" si="27"/>
        <v>206</v>
      </c>
      <c r="J621">
        <f t="shared" si="28"/>
        <v>68.666666666666671</v>
      </c>
      <c r="K621" s="7" t="str">
        <f t="shared" si="29"/>
        <v>pass</v>
      </c>
    </row>
    <row r="622" spans="1:11" x14ac:dyDescent="0.25">
      <c r="A622" t="str">
        <f>PROPER(TRIM('raw data'!A622))</f>
        <v>Female</v>
      </c>
      <c r="B622" t="str">
        <f>PROPER(TRIM('raw data'!B622))</f>
        <v>Group C</v>
      </c>
      <c r="C622" s="7" t="str">
        <f>PROPER(TRIM('raw data'!C622))</f>
        <v>High School</v>
      </c>
      <c r="D622" s="7" t="str">
        <f>PROPER(TRIM('raw data'!D622))</f>
        <v>Free/Reduced</v>
      </c>
      <c r="E622" s="7" t="str">
        <f>PROPER(TRIM('raw data'!E622))</f>
        <v>None</v>
      </c>
      <c r="F622" s="8">
        <v>35</v>
      </c>
      <c r="G622" s="8">
        <v>61</v>
      </c>
      <c r="H622" s="8">
        <v>54</v>
      </c>
      <c r="I622">
        <f t="shared" si="27"/>
        <v>150</v>
      </c>
      <c r="J622">
        <f t="shared" si="28"/>
        <v>50</v>
      </c>
      <c r="K622" s="7" t="str">
        <f t="shared" si="29"/>
        <v>pass</v>
      </c>
    </row>
    <row r="623" spans="1:11" x14ac:dyDescent="0.25">
      <c r="A623" t="str">
        <f>PROPER(TRIM('raw data'!A623))</f>
        <v>Male</v>
      </c>
      <c r="B623" t="str">
        <f>PROPER(TRIM('raw data'!B623))</f>
        <v>Group B</v>
      </c>
      <c r="C623" s="7" t="str">
        <f>PROPER(TRIM('raw data'!C623))</f>
        <v>Bachelor'S Degree</v>
      </c>
      <c r="D623" s="7" t="str">
        <f>PROPER(TRIM('raw data'!D623))</f>
        <v>Free/Reduced</v>
      </c>
      <c r="E623" s="7" t="str">
        <f>PROPER(TRIM('raw data'!E623))</f>
        <v>None</v>
      </c>
      <c r="F623" s="8">
        <v>62</v>
      </c>
      <c r="G623" s="8">
        <v>63</v>
      </c>
      <c r="H623" s="8">
        <v>56</v>
      </c>
      <c r="I623">
        <f t="shared" si="27"/>
        <v>181</v>
      </c>
      <c r="J623">
        <f t="shared" si="28"/>
        <v>60.333333333333336</v>
      </c>
      <c r="K623" s="7" t="str">
        <f t="shared" si="29"/>
        <v>pass</v>
      </c>
    </row>
    <row r="624" spans="1:11" x14ac:dyDescent="0.25">
      <c r="A624" t="str">
        <f>PROPER(TRIM('raw data'!A624))</f>
        <v>Male</v>
      </c>
      <c r="B624" t="str">
        <f>PROPER(TRIM('raw data'!B624))</f>
        <v>Group C</v>
      </c>
      <c r="C624" s="7" t="str">
        <f>PROPER(TRIM('raw data'!C624))</f>
        <v>High School</v>
      </c>
      <c r="D624" s="7" t="str">
        <f>PROPER(TRIM('raw data'!D624))</f>
        <v>Free/Reduced</v>
      </c>
      <c r="E624" s="7" t="str">
        <f>PROPER(TRIM('raw data'!E624))</f>
        <v>Completed</v>
      </c>
      <c r="F624" s="8">
        <v>58</v>
      </c>
      <c r="G624" s="8">
        <v>51</v>
      </c>
      <c r="H624" s="8">
        <v>52</v>
      </c>
      <c r="I624">
        <f t="shared" si="27"/>
        <v>161</v>
      </c>
      <c r="J624">
        <f t="shared" si="28"/>
        <v>53.666666666666664</v>
      </c>
      <c r="K624" s="7" t="str">
        <f t="shared" si="29"/>
        <v>pass</v>
      </c>
    </row>
    <row r="625" spans="1:11" x14ac:dyDescent="0.25">
      <c r="A625" t="str">
        <f>PROPER(TRIM('raw data'!A625))</f>
        <v>Male</v>
      </c>
      <c r="B625" t="str">
        <f>PROPER(TRIM('raw data'!B625))</f>
        <v>Group A</v>
      </c>
      <c r="C625" s="7" t="str">
        <f>PROPER(TRIM('raw data'!C625))</f>
        <v>Some College</v>
      </c>
      <c r="D625" s="7" t="str">
        <f>PROPER(TRIM('raw data'!D625))</f>
        <v>Standard</v>
      </c>
      <c r="E625" s="7" t="str">
        <f>PROPER(TRIM('raw data'!E625))</f>
        <v>Completed</v>
      </c>
      <c r="F625" s="8">
        <v>100</v>
      </c>
      <c r="G625" s="8">
        <v>96</v>
      </c>
      <c r="H625" s="8">
        <v>86</v>
      </c>
      <c r="I625">
        <f t="shared" si="27"/>
        <v>282</v>
      </c>
      <c r="J625">
        <f t="shared" si="28"/>
        <v>94</v>
      </c>
      <c r="K625" s="7" t="str">
        <f t="shared" si="29"/>
        <v>pass</v>
      </c>
    </row>
    <row r="626" spans="1:11" x14ac:dyDescent="0.25">
      <c r="A626" t="str">
        <f>PROPER(TRIM('raw data'!A626))</f>
        <v>Female</v>
      </c>
      <c r="B626" t="str">
        <f>PROPER(TRIM('raw data'!B626))</f>
        <v>Group E</v>
      </c>
      <c r="C626" s="7" t="str">
        <f>PROPER(TRIM('raw data'!C626))</f>
        <v>Bachelor'S Degree</v>
      </c>
      <c r="D626" s="7" t="str">
        <f>PROPER(TRIM('raw data'!D626))</f>
        <v>Free/Reduced</v>
      </c>
      <c r="E626" s="7" t="str">
        <f>PROPER(TRIM('raw data'!E626))</f>
        <v>None</v>
      </c>
      <c r="F626" s="8">
        <v>61</v>
      </c>
      <c r="G626" s="8">
        <v>58</v>
      </c>
      <c r="H626" s="8">
        <v>62</v>
      </c>
      <c r="I626">
        <f t="shared" si="27"/>
        <v>181</v>
      </c>
      <c r="J626">
        <f t="shared" si="28"/>
        <v>60.333333333333336</v>
      </c>
      <c r="K626" s="7" t="str">
        <f t="shared" si="29"/>
        <v>pass</v>
      </c>
    </row>
    <row r="627" spans="1:11" x14ac:dyDescent="0.25">
      <c r="A627" t="str">
        <f>PROPER(TRIM('raw data'!A627))</f>
        <v>Male</v>
      </c>
      <c r="B627" t="str">
        <f>PROPER(TRIM('raw data'!B627))</f>
        <v>Group D</v>
      </c>
      <c r="C627" s="7" t="str">
        <f>PROPER(TRIM('raw data'!C627))</f>
        <v>Some College</v>
      </c>
      <c r="D627" s="7" t="str">
        <f>PROPER(TRIM('raw data'!D627))</f>
        <v>Standard</v>
      </c>
      <c r="E627" s="7" t="str">
        <f>PROPER(TRIM('raw data'!E627))</f>
        <v>Completed</v>
      </c>
      <c r="F627" s="8">
        <v>100</v>
      </c>
      <c r="G627" s="8">
        <v>97</v>
      </c>
      <c r="H627" s="8">
        <v>99</v>
      </c>
      <c r="I627">
        <f t="shared" si="27"/>
        <v>296</v>
      </c>
      <c r="J627">
        <f t="shared" si="28"/>
        <v>98.666666666666671</v>
      </c>
      <c r="K627" s="7" t="str">
        <f t="shared" si="29"/>
        <v>pass</v>
      </c>
    </row>
    <row r="628" spans="1:11" x14ac:dyDescent="0.25">
      <c r="A628" t="str">
        <f>PROPER(TRIM('raw data'!A628))</f>
        <v>Male</v>
      </c>
      <c r="B628" t="str">
        <f>PROPER(TRIM('raw data'!B628))</f>
        <v>Group B</v>
      </c>
      <c r="C628" s="7" t="str">
        <f>PROPER(TRIM('raw data'!C628))</f>
        <v>Associate'S Degree</v>
      </c>
      <c r="D628" s="7" t="str">
        <f>PROPER(TRIM('raw data'!D628))</f>
        <v>Free/Reduced</v>
      </c>
      <c r="E628" s="7" t="str">
        <f>PROPER(TRIM('raw data'!E628))</f>
        <v>Completed</v>
      </c>
      <c r="F628" s="8">
        <v>69</v>
      </c>
      <c r="G628" s="8">
        <v>70</v>
      </c>
      <c r="H628" s="8">
        <v>63</v>
      </c>
      <c r="I628">
        <f t="shared" si="27"/>
        <v>202</v>
      </c>
      <c r="J628">
        <f t="shared" si="28"/>
        <v>67.333333333333329</v>
      </c>
      <c r="K628" s="7" t="str">
        <f t="shared" si="29"/>
        <v>pass</v>
      </c>
    </row>
    <row r="629" spans="1:11" x14ac:dyDescent="0.25">
      <c r="A629" t="str">
        <f>PROPER(TRIM('raw data'!A629))</f>
        <v>Male</v>
      </c>
      <c r="B629" t="str">
        <f>PROPER(TRIM('raw data'!B629))</f>
        <v>Group D</v>
      </c>
      <c r="C629" s="7" t="str">
        <f>PROPER(TRIM('raw data'!C629))</f>
        <v>Associate'S Degree</v>
      </c>
      <c r="D629" s="7" t="str">
        <f>PROPER(TRIM('raw data'!D629))</f>
        <v>Standard</v>
      </c>
      <c r="E629" s="7" t="str">
        <f>PROPER(TRIM('raw data'!E629))</f>
        <v>None</v>
      </c>
      <c r="F629" s="8">
        <v>61</v>
      </c>
      <c r="G629" s="8">
        <v>48</v>
      </c>
      <c r="H629" s="8">
        <v>46</v>
      </c>
      <c r="I629">
        <f t="shared" si="27"/>
        <v>155</v>
      </c>
      <c r="J629">
        <f t="shared" si="28"/>
        <v>51.666666666666664</v>
      </c>
      <c r="K629" s="7" t="str">
        <f t="shared" si="29"/>
        <v>pass</v>
      </c>
    </row>
    <row r="630" spans="1:11" x14ac:dyDescent="0.25">
      <c r="A630" t="str">
        <f>PROPER(TRIM('raw data'!A630))</f>
        <v>Male</v>
      </c>
      <c r="B630" t="str">
        <f>PROPER(TRIM('raw data'!B630))</f>
        <v>Group D</v>
      </c>
      <c r="C630" s="7" t="str">
        <f>PROPER(TRIM('raw data'!C630))</f>
        <v>Some College</v>
      </c>
      <c r="D630" s="7" t="str">
        <f>PROPER(TRIM('raw data'!D630))</f>
        <v>Free/Reduced</v>
      </c>
      <c r="E630" s="7" t="str">
        <f>PROPER(TRIM('raw data'!E630))</f>
        <v>None</v>
      </c>
      <c r="F630" s="8">
        <v>49</v>
      </c>
      <c r="G630" s="8">
        <v>57</v>
      </c>
      <c r="H630" s="8">
        <v>46</v>
      </c>
      <c r="I630">
        <f t="shared" si="27"/>
        <v>152</v>
      </c>
      <c r="J630">
        <f t="shared" si="28"/>
        <v>50.666666666666664</v>
      </c>
      <c r="K630" s="7" t="str">
        <f t="shared" si="29"/>
        <v>pass</v>
      </c>
    </row>
    <row r="631" spans="1:11" x14ac:dyDescent="0.25">
      <c r="A631" t="str">
        <f>PROPER(TRIM('raw data'!A631))</f>
        <v>Female</v>
      </c>
      <c r="B631" t="str">
        <f>PROPER(TRIM('raw data'!B631))</f>
        <v>Group C</v>
      </c>
      <c r="C631" s="7" t="str">
        <f>PROPER(TRIM('raw data'!C631))</f>
        <v>Some High School</v>
      </c>
      <c r="D631" s="7" t="str">
        <f>PROPER(TRIM('raw data'!D631))</f>
        <v>Standard</v>
      </c>
      <c r="E631" s="7" t="str">
        <f>PROPER(TRIM('raw data'!E631))</f>
        <v>Completed</v>
      </c>
      <c r="F631" s="8">
        <v>44</v>
      </c>
      <c r="G631" s="8">
        <v>51</v>
      </c>
      <c r="H631" s="8">
        <v>55</v>
      </c>
      <c r="I631">
        <f t="shared" si="27"/>
        <v>150</v>
      </c>
      <c r="J631">
        <f t="shared" si="28"/>
        <v>50</v>
      </c>
      <c r="K631" s="7" t="str">
        <f t="shared" si="29"/>
        <v>pass</v>
      </c>
    </row>
    <row r="632" spans="1:11" x14ac:dyDescent="0.25">
      <c r="A632" t="str">
        <f>PROPER(TRIM('raw data'!A632))</f>
        <v>Male</v>
      </c>
      <c r="B632" t="str">
        <f>PROPER(TRIM('raw data'!B632))</f>
        <v>Group D</v>
      </c>
      <c r="C632" s="7" t="str">
        <f>PROPER(TRIM('raw data'!C632))</f>
        <v>Some College</v>
      </c>
      <c r="D632" s="7" t="str">
        <f>PROPER(TRIM('raw data'!D632))</f>
        <v>Standard</v>
      </c>
      <c r="E632" s="7" t="str">
        <f>PROPER(TRIM('raw data'!E632))</f>
        <v>None</v>
      </c>
      <c r="F632" s="8">
        <v>67</v>
      </c>
      <c r="G632" s="8">
        <v>64</v>
      </c>
      <c r="H632" s="8">
        <v>70</v>
      </c>
      <c r="I632">
        <f t="shared" si="27"/>
        <v>201</v>
      </c>
      <c r="J632">
        <f t="shared" si="28"/>
        <v>67</v>
      </c>
      <c r="K632" s="7" t="str">
        <f t="shared" si="29"/>
        <v>pass</v>
      </c>
    </row>
    <row r="633" spans="1:11" x14ac:dyDescent="0.25">
      <c r="A633" t="str">
        <f>PROPER(TRIM('raw data'!A633))</f>
        <v>Male</v>
      </c>
      <c r="B633" t="str">
        <f>PROPER(TRIM('raw data'!B633))</f>
        <v>Group B</v>
      </c>
      <c r="C633" s="7" t="str">
        <f>PROPER(TRIM('raw data'!C633))</f>
        <v>High School</v>
      </c>
      <c r="D633" s="7" t="str">
        <f>PROPER(TRIM('raw data'!D633))</f>
        <v>Standard</v>
      </c>
      <c r="E633" s="7" t="str">
        <f>PROPER(TRIM('raw data'!E633))</f>
        <v>None</v>
      </c>
      <c r="F633" s="8">
        <v>79</v>
      </c>
      <c r="G633" s="8">
        <v>60</v>
      </c>
      <c r="H633" s="8">
        <v>65</v>
      </c>
      <c r="I633">
        <f t="shared" si="27"/>
        <v>204</v>
      </c>
      <c r="J633">
        <f t="shared" si="28"/>
        <v>68</v>
      </c>
      <c r="K633" s="7" t="str">
        <f t="shared" si="29"/>
        <v>pass</v>
      </c>
    </row>
    <row r="634" spans="1:11" x14ac:dyDescent="0.25">
      <c r="A634" t="str">
        <f>PROPER(TRIM('raw data'!A634))</f>
        <v>Female</v>
      </c>
      <c r="B634" t="str">
        <f>PROPER(TRIM('raw data'!B634))</f>
        <v>Group B</v>
      </c>
      <c r="C634" s="7" t="str">
        <f>PROPER(TRIM('raw data'!C634))</f>
        <v>Bachelor'S Degree</v>
      </c>
      <c r="D634" s="7" t="str">
        <f>PROPER(TRIM('raw data'!D634))</f>
        <v>Standard</v>
      </c>
      <c r="E634" s="7" t="str">
        <f>PROPER(TRIM('raw data'!E634))</f>
        <v>Completed</v>
      </c>
      <c r="F634" s="8">
        <v>66</v>
      </c>
      <c r="G634" s="8">
        <v>74</v>
      </c>
      <c r="H634" s="8">
        <v>81</v>
      </c>
      <c r="I634">
        <f t="shared" si="27"/>
        <v>221</v>
      </c>
      <c r="J634">
        <f t="shared" si="28"/>
        <v>73.666666666666671</v>
      </c>
      <c r="K634" s="7" t="str">
        <f t="shared" si="29"/>
        <v>pass</v>
      </c>
    </row>
    <row r="635" spans="1:11" x14ac:dyDescent="0.25">
      <c r="A635" t="str">
        <f>PROPER(TRIM('raw data'!A635))</f>
        <v>Female</v>
      </c>
      <c r="B635" t="str">
        <f>PROPER(TRIM('raw data'!B635))</f>
        <v>Group C</v>
      </c>
      <c r="C635" s="7" t="str">
        <f>PROPER(TRIM('raw data'!C635))</f>
        <v>High School</v>
      </c>
      <c r="D635" s="7" t="str">
        <f>PROPER(TRIM('raw data'!D635))</f>
        <v>Standard</v>
      </c>
      <c r="E635" s="7" t="str">
        <f>PROPER(TRIM('raw data'!E635))</f>
        <v>None</v>
      </c>
      <c r="F635" s="8">
        <v>75</v>
      </c>
      <c r="G635" s="8">
        <v>88</v>
      </c>
      <c r="H635" s="8">
        <v>85</v>
      </c>
      <c r="I635">
        <f t="shared" si="27"/>
        <v>248</v>
      </c>
      <c r="J635">
        <f t="shared" si="28"/>
        <v>82.666666666666671</v>
      </c>
      <c r="K635" s="7" t="str">
        <f t="shared" si="29"/>
        <v>pass</v>
      </c>
    </row>
    <row r="636" spans="1:11" x14ac:dyDescent="0.25">
      <c r="A636" t="str">
        <f>PROPER(TRIM('raw data'!A636))</f>
        <v>Male</v>
      </c>
      <c r="B636" t="str">
        <f>PROPER(TRIM('raw data'!B636))</f>
        <v>Group D</v>
      </c>
      <c r="C636" s="7" t="str">
        <f>PROPER(TRIM('raw data'!C636))</f>
        <v>Some High School</v>
      </c>
      <c r="D636" s="7" t="str">
        <f>PROPER(TRIM('raw data'!D636))</f>
        <v>Standard</v>
      </c>
      <c r="E636" s="7" t="str">
        <f>PROPER(TRIM('raw data'!E636))</f>
        <v>None</v>
      </c>
      <c r="F636" s="8">
        <v>84</v>
      </c>
      <c r="G636" s="8">
        <v>84</v>
      </c>
      <c r="H636" s="8">
        <v>80</v>
      </c>
      <c r="I636">
        <f t="shared" si="27"/>
        <v>248</v>
      </c>
      <c r="J636">
        <f t="shared" si="28"/>
        <v>82.666666666666671</v>
      </c>
      <c r="K636" s="7" t="str">
        <f t="shared" si="29"/>
        <v>pass</v>
      </c>
    </row>
    <row r="637" spans="1:11" x14ac:dyDescent="0.25">
      <c r="A637" t="str">
        <f>PROPER(TRIM('raw data'!A637))</f>
        <v>Male</v>
      </c>
      <c r="B637" t="str">
        <f>PROPER(TRIM('raw data'!B637))</f>
        <v>Group A</v>
      </c>
      <c r="C637" s="7" t="str">
        <f>PROPER(TRIM('raw data'!C637))</f>
        <v>High School</v>
      </c>
      <c r="D637" s="7" t="str">
        <f>PROPER(TRIM('raw data'!D637))</f>
        <v>Standard</v>
      </c>
      <c r="E637" s="7" t="str">
        <f>PROPER(TRIM('raw data'!E637))</f>
        <v>None</v>
      </c>
      <c r="F637" s="8">
        <v>71</v>
      </c>
      <c r="G637" s="8">
        <v>74</v>
      </c>
      <c r="H637" s="8">
        <v>64</v>
      </c>
      <c r="I637">
        <f t="shared" si="27"/>
        <v>209</v>
      </c>
      <c r="J637">
        <f t="shared" si="28"/>
        <v>69.666666666666671</v>
      </c>
      <c r="K637" s="7" t="str">
        <f t="shared" si="29"/>
        <v>pass</v>
      </c>
    </row>
    <row r="638" spans="1:11" x14ac:dyDescent="0.25">
      <c r="A638" t="str">
        <f>PROPER(TRIM('raw data'!A638))</f>
        <v>Female</v>
      </c>
      <c r="B638" t="str">
        <f>PROPER(TRIM('raw data'!B638))</f>
        <v>Group B</v>
      </c>
      <c r="C638" s="7" t="str">
        <f>PROPER(TRIM('raw data'!C638))</f>
        <v>High School</v>
      </c>
      <c r="D638" s="7" t="str">
        <f>PROPER(TRIM('raw data'!D638))</f>
        <v>Free/Reduced</v>
      </c>
      <c r="E638" s="7" t="str">
        <f>PROPER(TRIM('raw data'!E638))</f>
        <v>Completed</v>
      </c>
      <c r="F638" s="8">
        <v>67</v>
      </c>
      <c r="G638" s="8">
        <v>80</v>
      </c>
      <c r="H638" s="8">
        <v>81</v>
      </c>
      <c r="I638">
        <f t="shared" si="27"/>
        <v>228</v>
      </c>
      <c r="J638">
        <f t="shared" si="28"/>
        <v>76</v>
      </c>
      <c r="K638" s="7" t="str">
        <f t="shared" si="29"/>
        <v>pass</v>
      </c>
    </row>
    <row r="639" spans="1:11" x14ac:dyDescent="0.25">
      <c r="A639" t="str">
        <f>PROPER(TRIM('raw data'!A639))</f>
        <v>Female</v>
      </c>
      <c r="B639" t="str">
        <f>PROPER(TRIM('raw data'!B639))</f>
        <v>Group D</v>
      </c>
      <c r="C639" s="7" t="str">
        <f>PROPER(TRIM('raw data'!C639))</f>
        <v>Some High School</v>
      </c>
      <c r="D639" s="7" t="str">
        <f>PROPER(TRIM('raw data'!D639))</f>
        <v>Standard</v>
      </c>
      <c r="E639" s="7" t="str">
        <f>PROPER(TRIM('raw data'!E639))</f>
        <v>Completed</v>
      </c>
      <c r="F639" s="8">
        <v>80</v>
      </c>
      <c r="G639" s="8">
        <v>92</v>
      </c>
      <c r="H639" s="8">
        <v>88</v>
      </c>
      <c r="I639">
        <f t="shared" si="27"/>
        <v>260</v>
      </c>
      <c r="J639">
        <f t="shared" si="28"/>
        <v>86.666666666666671</v>
      </c>
      <c r="K639" s="7" t="str">
        <f t="shared" si="29"/>
        <v>pass</v>
      </c>
    </row>
    <row r="640" spans="1:11" x14ac:dyDescent="0.25">
      <c r="A640" t="str">
        <f>PROPER(TRIM('raw data'!A640))</f>
        <v>Male</v>
      </c>
      <c r="B640" t="str">
        <f>PROPER(TRIM('raw data'!B640))</f>
        <v>Group E</v>
      </c>
      <c r="C640" s="7" t="str">
        <f>PROPER(TRIM('raw data'!C640))</f>
        <v>Some College</v>
      </c>
      <c r="D640" s="7" t="str">
        <f>PROPER(TRIM('raw data'!D640))</f>
        <v>Standard</v>
      </c>
      <c r="E640" s="7" t="str">
        <f>PROPER(TRIM('raw data'!E640))</f>
        <v>None</v>
      </c>
      <c r="F640" s="8">
        <v>86</v>
      </c>
      <c r="G640" s="8">
        <v>76</v>
      </c>
      <c r="H640" s="8">
        <v>74</v>
      </c>
      <c r="I640">
        <f t="shared" si="27"/>
        <v>236</v>
      </c>
      <c r="J640">
        <f t="shared" si="28"/>
        <v>78.666666666666671</v>
      </c>
      <c r="K640" s="7" t="str">
        <f t="shared" si="29"/>
        <v>pass</v>
      </c>
    </row>
    <row r="641" spans="1:11" x14ac:dyDescent="0.25">
      <c r="A641" t="str">
        <f>PROPER(TRIM('raw data'!A641))</f>
        <v>Female</v>
      </c>
      <c r="B641" t="str">
        <f>PROPER(TRIM('raw data'!B641))</f>
        <v>Group D</v>
      </c>
      <c r="C641" s="7" t="str">
        <f>PROPER(TRIM('raw data'!C641))</f>
        <v>Associate'S Degree</v>
      </c>
      <c r="D641" s="7" t="str">
        <f>PROPER(TRIM('raw data'!D641))</f>
        <v>Standard</v>
      </c>
      <c r="E641" s="7" t="str">
        <f>PROPER(TRIM('raw data'!E641))</f>
        <v>None</v>
      </c>
      <c r="F641" s="8">
        <v>76</v>
      </c>
      <c r="G641" s="8">
        <v>74</v>
      </c>
      <c r="H641" s="8">
        <v>73</v>
      </c>
      <c r="I641">
        <f t="shared" si="27"/>
        <v>223</v>
      </c>
      <c r="J641">
        <f t="shared" si="28"/>
        <v>74.333333333333329</v>
      </c>
      <c r="K641" s="7" t="str">
        <f t="shared" si="29"/>
        <v>pass</v>
      </c>
    </row>
    <row r="642" spans="1:11" x14ac:dyDescent="0.25">
      <c r="A642" t="str">
        <f>PROPER(TRIM('raw data'!A642))</f>
        <v>Male</v>
      </c>
      <c r="B642" t="str">
        <f>PROPER(TRIM('raw data'!B642))</f>
        <v>Group D</v>
      </c>
      <c r="C642" s="7" t="str">
        <f>PROPER(TRIM('raw data'!C642))</f>
        <v>High School</v>
      </c>
      <c r="D642" s="7" t="str">
        <f>PROPER(TRIM('raw data'!D642))</f>
        <v>Standard</v>
      </c>
      <c r="E642" s="7" t="str">
        <f>PROPER(TRIM('raw data'!E642))</f>
        <v>None</v>
      </c>
      <c r="F642" s="8">
        <v>41</v>
      </c>
      <c r="G642" s="8">
        <v>52</v>
      </c>
      <c r="H642" s="8">
        <v>51</v>
      </c>
      <c r="I642">
        <f t="shared" si="27"/>
        <v>144</v>
      </c>
      <c r="J642">
        <f t="shared" si="28"/>
        <v>48</v>
      </c>
      <c r="K642" s="7" t="str">
        <f t="shared" si="29"/>
        <v>pass</v>
      </c>
    </row>
    <row r="643" spans="1:11" x14ac:dyDescent="0.25">
      <c r="A643" t="str">
        <f>PROPER(TRIM('raw data'!A643))</f>
        <v>Female</v>
      </c>
      <c r="B643" t="str">
        <f>PROPER(TRIM('raw data'!B643))</f>
        <v>Group D</v>
      </c>
      <c r="C643" s="7" t="str">
        <f>PROPER(TRIM('raw data'!C643))</f>
        <v>Associate'S Degree</v>
      </c>
      <c r="D643" s="7" t="str">
        <f>PROPER(TRIM('raw data'!D643))</f>
        <v>Free/Reduced</v>
      </c>
      <c r="E643" s="7" t="str">
        <f>PROPER(TRIM('raw data'!E643))</f>
        <v>Completed</v>
      </c>
      <c r="F643" s="8">
        <v>74</v>
      </c>
      <c r="G643" s="8">
        <v>88</v>
      </c>
      <c r="H643" s="8">
        <v>90</v>
      </c>
      <c r="I643">
        <f t="shared" ref="I643:I706" si="30">F643+G643+H643</f>
        <v>252</v>
      </c>
      <c r="J643">
        <f t="shared" ref="J643:J706" si="31">I643/3</f>
        <v>84</v>
      </c>
      <c r="K643" s="7" t="str">
        <f t="shared" ref="K643:K706" si="32">IF(J643&gt;=40,"pass","fail")</f>
        <v>pass</v>
      </c>
    </row>
    <row r="644" spans="1:11" x14ac:dyDescent="0.25">
      <c r="A644" t="str">
        <f>PROPER(TRIM('raw data'!A644))</f>
        <v>Female</v>
      </c>
      <c r="B644" t="str">
        <f>PROPER(TRIM('raw data'!B644))</f>
        <v>Group B</v>
      </c>
      <c r="C644" s="7" t="str">
        <f>PROPER(TRIM('raw data'!C644))</f>
        <v>Some High School</v>
      </c>
      <c r="D644" s="7" t="str">
        <f>PROPER(TRIM('raw data'!D644))</f>
        <v>Free/Reduced</v>
      </c>
      <c r="E644" s="7" t="str">
        <f>PROPER(TRIM('raw data'!E644))</f>
        <v>None</v>
      </c>
      <c r="F644" s="8">
        <v>72</v>
      </c>
      <c r="G644" s="8">
        <v>81</v>
      </c>
      <c r="H644" s="8">
        <v>79</v>
      </c>
      <c r="I644">
        <f t="shared" si="30"/>
        <v>232</v>
      </c>
      <c r="J644">
        <f t="shared" si="31"/>
        <v>77.333333333333329</v>
      </c>
      <c r="K644" s="7" t="str">
        <f t="shared" si="32"/>
        <v>pass</v>
      </c>
    </row>
    <row r="645" spans="1:11" x14ac:dyDescent="0.25">
      <c r="A645" t="str">
        <f>PROPER(TRIM('raw data'!A645))</f>
        <v>Female</v>
      </c>
      <c r="B645" t="str">
        <f>PROPER(TRIM('raw data'!B645))</f>
        <v>Group E</v>
      </c>
      <c r="C645" s="7" t="str">
        <f>PROPER(TRIM('raw data'!C645))</f>
        <v>High School</v>
      </c>
      <c r="D645" s="7" t="str">
        <f>PROPER(TRIM('raw data'!D645))</f>
        <v>Standard</v>
      </c>
      <c r="E645" s="7" t="str">
        <f>PROPER(TRIM('raw data'!E645))</f>
        <v>Completed</v>
      </c>
      <c r="F645" s="8">
        <v>74</v>
      </c>
      <c r="G645" s="8">
        <v>79</v>
      </c>
      <c r="H645" s="8">
        <v>80</v>
      </c>
      <c r="I645">
        <f t="shared" si="30"/>
        <v>233</v>
      </c>
      <c r="J645">
        <f t="shared" si="31"/>
        <v>77.666666666666671</v>
      </c>
      <c r="K645" s="7" t="str">
        <f t="shared" si="32"/>
        <v>pass</v>
      </c>
    </row>
    <row r="646" spans="1:11" x14ac:dyDescent="0.25">
      <c r="A646" t="str">
        <f>PROPER(TRIM('raw data'!A646))</f>
        <v>Male</v>
      </c>
      <c r="B646" t="str">
        <f>PROPER(TRIM('raw data'!B646))</f>
        <v>Group B</v>
      </c>
      <c r="C646" s="7" t="str">
        <f>PROPER(TRIM('raw data'!C646))</f>
        <v>High School</v>
      </c>
      <c r="D646" s="7" t="str">
        <f>PROPER(TRIM('raw data'!D646))</f>
        <v>Standard</v>
      </c>
      <c r="E646" s="7" t="str">
        <f>PROPER(TRIM('raw data'!E646))</f>
        <v>None</v>
      </c>
      <c r="F646" s="8">
        <v>70</v>
      </c>
      <c r="G646" s="8">
        <v>65</v>
      </c>
      <c r="H646" s="8">
        <v>60</v>
      </c>
      <c r="I646">
        <f t="shared" si="30"/>
        <v>195</v>
      </c>
      <c r="J646">
        <f t="shared" si="31"/>
        <v>65</v>
      </c>
      <c r="K646" s="7" t="str">
        <f t="shared" si="32"/>
        <v>pass</v>
      </c>
    </row>
    <row r="647" spans="1:11" x14ac:dyDescent="0.25">
      <c r="A647" t="str">
        <f>PROPER(TRIM('raw data'!A647))</f>
        <v>Female</v>
      </c>
      <c r="B647" t="str">
        <f>PROPER(TRIM('raw data'!B647))</f>
        <v>Group B</v>
      </c>
      <c r="C647" s="7" t="str">
        <f>PROPER(TRIM('raw data'!C647))</f>
        <v>Bachelor'S Degree</v>
      </c>
      <c r="D647" s="7" t="str">
        <f>PROPER(TRIM('raw data'!D647))</f>
        <v>Standard</v>
      </c>
      <c r="E647" s="7" t="str">
        <f>PROPER(TRIM('raw data'!E647))</f>
        <v>Completed</v>
      </c>
      <c r="F647" s="8">
        <v>65</v>
      </c>
      <c r="G647" s="8">
        <v>81</v>
      </c>
      <c r="H647" s="8">
        <v>81</v>
      </c>
      <c r="I647">
        <f t="shared" si="30"/>
        <v>227</v>
      </c>
      <c r="J647">
        <f t="shared" si="31"/>
        <v>75.666666666666671</v>
      </c>
      <c r="K647" s="7" t="str">
        <f t="shared" si="32"/>
        <v>pass</v>
      </c>
    </row>
    <row r="648" spans="1:11" x14ac:dyDescent="0.25">
      <c r="A648" t="str">
        <f>PROPER(TRIM('raw data'!A648))</f>
        <v>Female</v>
      </c>
      <c r="B648" t="str">
        <f>PROPER(TRIM('raw data'!B648))</f>
        <v>Group D</v>
      </c>
      <c r="C648" s="7" t="str">
        <f>PROPER(TRIM('raw data'!C648))</f>
        <v>Associate'S Degree</v>
      </c>
      <c r="D648" s="7" t="str">
        <f>PROPER(TRIM('raw data'!D648))</f>
        <v>Standard</v>
      </c>
      <c r="E648" s="7" t="str">
        <f>PROPER(TRIM('raw data'!E648))</f>
        <v>None</v>
      </c>
      <c r="F648" s="8">
        <v>59</v>
      </c>
      <c r="G648" s="8">
        <v>70</v>
      </c>
      <c r="H648" s="8">
        <v>65</v>
      </c>
      <c r="I648">
        <f t="shared" si="30"/>
        <v>194</v>
      </c>
      <c r="J648">
        <f t="shared" si="31"/>
        <v>64.666666666666671</v>
      </c>
      <c r="K648" s="7" t="str">
        <f t="shared" si="32"/>
        <v>pass</v>
      </c>
    </row>
    <row r="649" spans="1:11" x14ac:dyDescent="0.25">
      <c r="A649" t="str">
        <f>PROPER(TRIM('raw data'!A649))</f>
        <v>Female</v>
      </c>
      <c r="B649" t="str">
        <f>PROPER(TRIM('raw data'!B649))</f>
        <v>Group E</v>
      </c>
      <c r="C649" s="7" t="str">
        <f>PROPER(TRIM('raw data'!C649))</f>
        <v>High School</v>
      </c>
      <c r="D649" s="7" t="str">
        <f>PROPER(TRIM('raw data'!D649))</f>
        <v>Free/Reduced</v>
      </c>
      <c r="E649" s="7" t="str">
        <f>PROPER(TRIM('raw data'!E649))</f>
        <v>None</v>
      </c>
      <c r="F649" s="8">
        <v>64</v>
      </c>
      <c r="G649" s="8">
        <v>62</v>
      </c>
      <c r="H649" s="8">
        <v>68</v>
      </c>
      <c r="I649">
        <f t="shared" si="30"/>
        <v>194</v>
      </c>
      <c r="J649">
        <f t="shared" si="31"/>
        <v>64.666666666666671</v>
      </c>
      <c r="K649" s="7" t="str">
        <f t="shared" si="32"/>
        <v>pass</v>
      </c>
    </row>
    <row r="650" spans="1:11" x14ac:dyDescent="0.25">
      <c r="A650" t="str">
        <f>PROPER(TRIM('raw data'!A650))</f>
        <v>Female</v>
      </c>
      <c r="B650" t="str">
        <f>PROPER(TRIM('raw data'!B650))</f>
        <v>Group B</v>
      </c>
      <c r="C650" s="7" t="str">
        <f>PROPER(TRIM('raw data'!C650))</f>
        <v>High School</v>
      </c>
      <c r="D650" s="7" t="str">
        <f>PROPER(TRIM('raw data'!D650))</f>
        <v>Standard</v>
      </c>
      <c r="E650" s="7" t="str">
        <f>PROPER(TRIM('raw data'!E650))</f>
        <v>None</v>
      </c>
      <c r="F650" s="8">
        <v>50</v>
      </c>
      <c r="G650" s="8">
        <v>53</v>
      </c>
      <c r="H650" s="8">
        <v>55</v>
      </c>
      <c r="I650">
        <f t="shared" si="30"/>
        <v>158</v>
      </c>
      <c r="J650">
        <f t="shared" si="31"/>
        <v>52.666666666666664</v>
      </c>
      <c r="K650" s="7" t="str">
        <f t="shared" si="32"/>
        <v>pass</v>
      </c>
    </row>
    <row r="651" spans="1:11" x14ac:dyDescent="0.25">
      <c r="A651" t="str">
        <f>PROPER(TRIM('raw data'!A651))</f>
        <v>Female</v>
      </c>
      <c r="B651" t="str">
        <f>PROPER(TRIM('raw data'!B651))</f>
        <v>Group D</v>
      </c>
      <c r="C651" s="7" t="str">
        <f>PROPER(TRIM('raw data'!C651))</f>
        <v>Some College</v>
      </c>
      <c r="D651" s="7" t="str">
        <f>PROPER(TRIM('raw data'!D651))</f>
        <v>Standard</v>
      </c>
      <c r="E651" s="7" t="str">
        <f>PROPER(TRIM('raw data'!E651))</f>
        <v>Completed</v>
      </c>
      <c r="F651" s="8">
        <v>69</v>
      </c>
      <c r="G651" s="8">
        <v>79</v>
      </c>
      <c r="H651" s="8">
        <v>81</v>
      </c>
      <c r="I651">
        <f t="shared" si="30"/>
        <v>229</v>
      </c>
      <c r="J651">
        <f t="shared" si="31"/>
        <v>76.333333333333329</v>
      </c>
      <c r="K651" s="7" t="str">
        <f t="shared" si="32"/>
        <v>pass</v>
      </c>
    </row>
    <row r="652" spans="1:11" x14ac:dyDescent="0.25">
      <c r="A652" t="str">
        <f>PROPER(TRIM('raw data'!A652))</f>
        <v>Male</v>
      </c>
      <c r="B652" t="str">
        <f>PROPER(TRIM('raw data'!B652))</f>
        <v>Group C</v>
      </c>
      <c r="C652" s="7" t="str">
        <f>PROPER(TRIM('raw data'!C652))</f>
        <v>Some High School</v>
      </c>
      <c r="D652" s="7" t="str">
        <f>PROPER(TRIM('raw data'!D652))</f>
        <v>Free/Reduced</v>
      </c>
      <c r="E652" s="7" t="str">
        <f>PROPER(TRIM('raw data'!E652))</f>
        <v>Completed</v>
      </c>
      <c r="F652" s="8">
        <v>51</v>
      </c>
      <c r="G652" s="8">
        <v>56</v>
      </c>
      <c r="H652" s="8">
        <v>53</v>
      </c>
      <c r="I652">
        <f t="shared" si="30"/>
        <v>160</v>
      </c>
      <c r="J652">
        <f t="shared" si="31"/>
        <v>53.333333333333336</v>
      </c>
      <c r="K652" s="7" t="str">
        <f t="shared" si="32"/>
        <v>pass</v>
      </c>
    </row>
    <row r="653" spans="1:11" x14ac:dyDescent="0.25">
      <c r="A653" t="str">
        <f>PROPER(TRIM('raw data'!A653))</f>
        <v>Female</v>
      </c>
      <c r="B653" t="str">
        <f>PROPER(TRIM('raw data'!B653))</f>
        <v>Group A</v>
      </c>
      <c r="C653" s="7" t="str">
        <f>PROPER(TRIM('raw data'!C653))</f>
        <v>High School</v>
      </c>
      <c r="D653" s="7" t="str">
        <f>PROPER(TRIM('raw data'!D653))</f>
        <v>Standard</v>
      </c>
      <c r="E653" s="7" t="str">
        <f>PROPER(TRIM('raw data'!E653))</f>
        <v>Completed</v>
      </c>
      <c r="F653" s="8">
        <v>68</v>
      </c>
      <c r="G653" s="8">
        <v>80</v>
      </c>
      <c r="H653" s="8">
        <v>76</v>
      </c>
      <c r="I653">
        <f t="shared" si="30"/>
        <v>224</v>
      </c>
      <c r="J653">
        <f t="shared" si="31"/>
        <v>74.666666666666671</v>
      </c>
      <c r="K653" s="7" t="str">
        <f t="shared" si="32"/>
        <v>pass</v>
      </c>
    </row>
    <row r="654" spans="1:11" x14ac:dyDescent="0.25">
      <c r="A654" t="str">
        <f>PROPER(TRIM('raw data'!A654))</f>
        <v>Female</v>
      </c>
      <c r="B654" t="str">
        <f>PROPER(TRIM('raw data'!B654))</f>
        <v>Group D</v>
      </c>
      <c r="C654" s="7" t="str">
        <f>PROPER(TRIM('raw data'!C654))</f>
        <v>Some College</v>
      </c>
      <c r="D654" s="7" t="str">
        <f>PROPER(TRIM('raw data'!D654))</f>
        <v>Standard</v>
      </c>
      <c r="E654" s="7" t="str">
        <f>PROPER(TRIM('raw data'!E654))</f>
        <v>Completed</v>
      </c>
      <c r="F654" s="8">
        <v>85</v>
      </c>
      <c r="G654" s="8">
        <v>86</v>
      </c>
      <c r="H654" s="8">
        <v>98</v>
      </c>
      <c r="I654">
        <f t="shared" si="30"/>
        <v>269</v>
      </c>
      <c r="J654">
        <f t="shared" si="31"/>
        <v>89.666666666666671</v>
      </c>
      <c r="K654" s="7" t="str">
        <f t="shared" si="32"/>
        <v>pass</v>
      </c>
    </row>
    <row r="655" spans="1:11" x14ac:dyDescent="0.25">
      <c r="A655" t="str">
        <f>PROPER(TRIM('raw data'!A655))</f>
        <v>Female</v>
      </c>
      <c r="B655" t="str">
        <f>PROPER(TRIM('raw data'!B655))</f>
        <v>Group A</v>
      </c>
      <c r="C655" s="7" t="str">
        <f>PROPER(TRIM('raw data'!C655))</f>
        <v>Associate'S Degree</v>
      </c>
      <c r="D655" s="7" t="str">
        <f>PROPER(TRIM('raw data'!D655))</f>
        <v>Standard</v>
      </c>
      <c r="E655" s="7" t="str">
        <f>PROPER(TRIM('raw data'!E655))</f>
        <v>Completed</v>
      </c>
      <c r="F655" s="8">
        <v>65</v>
      </c>
      <c r="G655" s="8">
        <v>70</v>
      </c>
      <c r="H655" s="8">
        <v>74</v>
      </c>
      <c r="I655">
        <f t="shared" si="30"/>
        <v>209</v>
      </c>
      <c r="J655">
        <f t="shared" si="31"/>
        <v>69.666666666666671</v>
      </c>
      <c r="K655" s="7" t="str">
        <f t="shared" si="32"/>
        <v>pass</v>
      </c>
    </row>
    <row r="656" spans="1:11" x14ac:dyDescent="0.25">
      <c r="A656" t="str">
        <f>PROPER(TRIM('raw data'!A656))</f>
        <v>Female</v>
      </c>
      <c r="B656" t="str">
        <f>PROPER(TRIM('raw data'!B656))</f>
        <v>Group B</v>
      </c>
      <c r="C656" s="7" t="str">
        <f>PROPER(TRIM('raw data'!C656))</f>
        <v>Some High School</v>
      </c>
      <c r="D656" s="7" t="str">
        <f>PROPER(TRIM('raw data'!D656))</f>
        <v>Standard</v>
      </c>
      <c r="E656" s="7" t="str">
        <f>PROPER(TRIM('raw data'!E656))</f>
        <v>None</v>
      </c>
      <c r="F656" s="8">
        <v>73</v>
      </c>
      <c r="G656" s="8">
        <v>79</v>
      </c>
      <c r="H656" s="8">
        <v>79</v>
      </c>
      <c r="I656">
        <f t="shared" si="30"/>
        <v>231</v>
      </c>
      <c r="J656">
        <f t="shared" si="31"/>
        <v>77</v>
      </c>
      <c r="K656" s="7" t="str">
        <f t="shared" si="32"/>
        <v>pass</v>
      </c>
    </row>
    <row r="657" spans="1:11" x14ac:dyDescent="0.25">
      <c r="A657" t="str">
        <f>PROPER(TRIM('raw data'!A657))</f>
        <v>Female</v>
      </c>
      <c r="B657" t="str">
        <f>PROPER(TRIM('raw data'!B657))</f>
        <v>Group B</v>
      </c>
      <c r="C657" s="7" t="str">
        <f>PROPER(TRIM('raw data'!C657))</f>
        <v>Some College</v>
      </c>
      <c r="D657" s="7" t="str">
        <f>PROPER(TRIM('raw data'!D657))</f>
        <v>Standard</v>
      </c>
      <c r="E657" s="7" t="str">
        <f>PROPER(TRIM('raw data'!E657))</f>
        <v>None</v>
      </c>
      <c r="F657" s="8">
        <v>62</v>
      </c>
      <c r="G657" s="8">
        <v>67</v>
      </c>
      <c r="H657" s="8">
        <v>67</v>
      </c>
      <c r="I657">
        <f t="shared" si="30"/>
        <v>196</v>
      </c>
      <c r="J657">
        <f t="shared" si="31"/>
        <v>65.333333333333329</v>
      </c>
      <c r="K657" s="7" t="str">
        <f t="shared" si="32"/>
        <v>pass</v>
      </c>
    </row>
    <row r="658" spans="1:11" x14ac:dyDescent="0.25">
      <c r="A658" t="str">
        <f>PROPER(TRIM('raw data'!A658))</f>
        <v>Male</v>
      </c>
      <c r="B658" t="str">
        <f>PROPER(TRIM('raw data'!B658))</f>
        <v>Group C</v>
      </c>
      <c r="C658" s="7" t="str">
        <f>PROPER(TRIM('raw data'!C658))</f>
        <v>Associate'S Degree</v>
      </c>
      <c r="D658" s="7" t="str">
        <f>PROPER(TRIM('raw data'!D658))</f>
        <v>Free/Reduced</v>
      </c>
      <c r="E658" s="7" t="str">
        <f>PROPER(TRIM('raw data'!E658))</f>
        <v>None</v>
      </c>
      <c r="F658" s="8">
        <v>77</v>
      </c>
      <c r="G658" s="8">
        <v>67</v>
      </c>
      <c r="H658" s="8">
        <v>64</v>
      </c>
      <c r="I658">
        <f t="shared" si="30"/>
        <v>208</v>
      </c>
      <c r="J658">
        <f t="shared" si="31"/>
        <v>69.333333333333329</v>
      </c>
      <c r="K658" s="7" t="str">
        <f t="shared" si="32"/>
        <v>pass</v>
      </c>
    </row>
    <row r="659" spans="1:11" x14ac:dyDescent="0.25">
      <c r="A659" t="str">
        <f>PROPER(TRIM('raw data'!A659))</f>
        <v>Male</v>
      </c>
      <c r="B659" t="str">
        <f>PROPER(TRIM('raw data'!B659))</f>
        <v>Group D</v>
      </c>
      <c r="C659" s="7" t="str">
        <f>PROPER(TRIM('raw data'!C659))</f>
        <v>Some High School</v>
      </c>
      <c r="D659" s="7" t="str">
        <f>PROPER(TRIM('raw data'!D659))</f>
        <v>Standard</v>
      </c>
      <c r="E659" s="7" t="str">
        <f>PROPER(TRIM('raw data'!E659))</f>
        <v>None</v>
      </c>
      <c r="F659" s="8">
        <v>69</v>
      </c>
      <c r="G659" s="8">
        <v>66</v>
      </c>
      <c r="H659" s="8">
        <v>61</v>
      </c>
      <c r="I659">
        <f t="shared" si="30"/>
        <v>196</v>
      </c>
      <c r="J659">
        <f t="shared" si="31"/>
        <v>65.333333333333329</v>
      </c>
      <c r="K659" s="7" t="str">
        <f t="shared" si="32"/>
        <v>pass</v>
      </c>
    </row>
    <row r="660" spans="1:11" x14ac:dyDescent="0.25">
      <c r="A660" t="str">
        <f>PROPER(TRIM('raw data'!A660))</f>
        <v>Female</v>
      </c>
      <c r="B660" t="str">
        <f>PROPER(TRIM('raw data'!B660))</f>
        <v>Group D</v>
      </c>
      <c r="C660" s="7" t="str">
        <f>PROPER(TRIM('raw data'!C660))</f>
        <v>Associate'S Degree</v>
      </c>
      <c r="D660" s="7" t="str">
        <f>PROPER(TRIM('raw data'!D660))</f>
        <v>Free/Reduced</v>
      </c>
      <c r="E660" s="7" t="str">
        <f>PROPER(TRIM('raw data'!E660))</f>
        <v>None</v>
      </c>
      <c r="F660" s="8">
        <v>43</v>
      </c>
      <c r="G660" s="8">
        <v>60</v>
      </c>
      <c r="H660" s="8">
        <v>58</v>
      </c>
      <c r="I660">
        <f t="shared" si="30"/>
        <v>161</v>
      </c>
      <c r="J660">
        <f t="shared" si="31"/>
        <v>53.666666666666664</v>
      </c>
      <c r="K660" s="7" t="str">
        <f t="shared" si="32"/>
        <v>pass</v>
      </c>
    </row>
    <row r="661" spans="1:11" x14ac:dyDescent="0.25">
      <c r="A661" t="str">
        <f>PROPER(TRIM('raw data'!A661))</f>
        <v>Male</v>
      </c>
      <c r="B661" t="str">
        <f>PROPER(TRIM('raw data'!B661))</f>
        <v>Group D</v>
      </c>
      <c r="C661" s="7" t="str">
        <f>PROPER(TRIM('raw data'!C661))</f>
        <v>Associate'S Degree</v>
      </c>
      <c r="D661" s="7" t="str">
        <f>PROPER(TRIM('raw data'!D661))</f>
        <v>Standard</v>
      </c>
      <c r="E661" s="7" t="str">
        <f>PROPER(TRIM('raw data'!E661))</f>
        <v>None</v>
      </c>
      <c r="F661" s="8">
        <v>90</v>
      </c>
      <c r="G661" s="8">
        <v>87</v>
      </c>
      <c r="H661" s="8">
        <v>85</v>
      </c>
      <c r="I661">
        <f t="shared" si="30"/>
        <v>262</v>
      </c>
      <c r="J661">
        <f t="shared" si="31"/>
        <v>87.333333333333329</v>
      </c>
      <c r="K661" s="7" t="str">
        <f t="shared" si="32"/>
        <v>pass</v>
      </c>
    </row>
    <row r="662" spans="1:11" x14ac:dyDescent="0.25">
      <c r="A662" t="str">
        <f>PROPER(TRIM('raw data'!A662))</f>
        <v>Male</v>
      </c>
      <c r="B662" t="str">
        <f>PROPER(TRIM('raw data'!B662))</f>
        <v>Group C</v>
      </c>
      <c r="C662" s="7" t="str">
        <f>PROPER(TRIM('raw data'!C662))</f>
        <v>Some College</v>
      </c>
      <c r="D662" s="7" t="str">
        <f>PROPER(TRIM('raw data'!D662))</f>
        <v>Free/Reduced</v>
      </c>
      <c r="E662" s="7" t="str">
        <f>PROPER(TRIM('raw data'!E662))</f>
        <v>None</v>
      </c>
      <c r="F662" s="8">
        <v>74</v>
      </c>
      <c r="G662" s="8">
        <v>77</v>
      </c>
      <c r="H662" s="8">
        <v>73</v>
      </c>
      <c r="I662">
        <f t="shared" si="30"/>
        <v>224</v>
      </c>
      <c r="J662">
        <f t="shared" si="31"/>
        <v>74.666666666666671</v>
      </c>
      <c r="K662" s="7" t="str">
        <f t="shared" si="32"/>
        <v>pass</v>
      </c>
    </row>
    <row r="663" spans="1:11" x14ac:dyDescent="0.25">
      <c r="A663" t="str">
        <f>PROPER(TRIM('raw data'!A663))</f>
        <v>Male</v>
      </c>
      <c r="B663" t="str">
        <f>PROPER(TRIM('raw data'!B663))</f>
        <v>Group C</v>
      </c>
      <c r="C663" s="7" t="str">
        <f>PROPER(TRIM('raw data'!C663))</f>
        <v>Some High School</v>
      </c>
      <c r="D663" s="7" t="str">
        <f>PROPER(TRIM('raw data'!D663))</f>
        <v>Standard</v>
      </c>
      <c r="E663" s="7" t="str">
        <f>PROPER(TRIM('raw data'!E663))</f>
        <v>None</v>
      </c>
      <c r="F663" s="8">
        <v>73</v>
      </c>
      <c r="G663" s="8">
        <v>66</v>
      </c>
      <c r="H663" s="8">
        <v>63</v>
      </c>
      <c r="I663">
        <f t="shared" si="30"/>
        <v>202</v>
      </c>
      <c r="J663">
        <f t="shared" si="31"/>
        <v>67.333333333333329</v>
      </c>
      <c r="K663" s="7" t="str">
        <f t="shared" si="32"/>
        <v>pass</v>
      </c>
    </row>
    <row r="664" spans="1:11" x14ac:dyDescent="0.25">
      <c r="A664" t="str">
        <f>PROPER(TRIM('raw data'!A664))</f>
        <v>Female</v>
      </c>
      <c r="B664" t="str">
        <f>PROPER(TRIM('raw data'!B664))</f>
        <v>Group D</v>
      </c>
      <c r="C664" s="7" t="str">
        <f>PROPER(TRIM('raw data'!C664))</f>
        <v>Some College</v>
      </c>
      <c r="D664" s="7" t="str">
        <f>PROPER(TRIM('raw data'!D664))</f>
        <v>Free/Reduced</v>
      </c>
      <c r="E664" s="7" t="str">
        <f>PROPER(TRIM('raw data'!E664))</f>
        <v>None</v>
      </c>
      <c r="F664" s="8">
        <v>55</v>
      </c>
      <c r="G664" s="8">
        <v>71</v>
      </c>
      <c r="H664" s="8">
        <v>69</v>
      </c>
      <c r="I664">
        <f t="shared" si="30"/>
        <v>195</v>
      </c>
      <c r="J664">
        <f t="shared" si="31"/>
        <v>65</v>
      </c>
      <c r="K664" s="7" t="str">
        <f t="shared" si="32"/>
        <v>pass</v>
      </c>
    </row>
    <row r="665" spans="1:11" x14ac:dyDescent="0.25">
      <c r="A665" t="str">
        <f>PROPER(TRIM('raw data'!A665))</f>
        <v>Female</v>
      </c>
      <c r="B665" t="str">
        <f>PROPER(TRIM('raw data'!B665))</f>
        <v>Group C</v>
      </c>
      <c r="C665" s="7" t="str">
        <f>PROPER(TRIM('raw data'!C665))</f>
        <v>High School</v>
      </c>
      <c r="D665" s="7" t="str">
        <f>PROPER(TRIM('raw data'!D665))</f>
        <v>Standard</v>
      </c>
      <c r="E665" s="7" t="str">
        <f>PROPER(TRIM('raw data'!E665))</f>
        <v>None</v>
      </c>
      <c r="F665" s="8">
        <v>65</v>
      </c>
      <c r="G665" s="8">
        <v>69</v>
      </c>
      <c r="H665" s="8">
        <v>67</v>
      </c>
      <c r="I665">
        <f t="shared" si="30"/>
        <v>201</v>
      </c>
      <c r="J665">
        <f t="shared" si="31"/>
        <v>67</v>
      </c>
      <c r="K665" s="7" t="str">
        <f t="shared" si="32"/>
        <v>pass</v>
      </c>
    </row>
    <row r="666" spans="1:11" x14ac:dyDescent="0.25">
      <c r="A666" t="str">
        <f>PROPER(TRIM('raw data'!A666))</f>
        <v>Male</v>
      </c>
      <c r="B666" t="str">
        <f>PROPER(TRIM('raw data'!B666))</f>
        <v>Group D</v>
      </c>
      <c r="C666" s="7" t="str">
        <f>PROPER(TRIM('raw data'!C666))</f>
        <v>Associate'S Degree</v>
      </c>
      <c r="D666" s="7" t="str">
        <f>PROPER(TRIM('raw data'!D666))</f>
        <v>Standard</v>
      </c>
      <c r="E666" s="7" t="str">
        <f>PROPER(TRIM('raw data'!E666))</f>
        <v>None</v>
      </c>
      <c r="F666" s="8">
        <v>80</v>
      </c>
      <c r="G666" s="8">
        <v>63</v>
      </c>
      <c r="H666" s="8">
        <v>63</v>
      </c>
      <c r="I666">
        <f t="shared" si="30"/>
        <v>206</v>
      </c>
      <c r="J666">
        <f t="shared" si="31"/>
        <v>68.666666666666671</v>
      </c>
      <c r="K666" s="7" t="str">
        <f t="shared" si="32"/>
        <v>pass</v>
      </c>
    </row>
    <row r="667" spans="1:11" x14ac:dyDescent="0.25">
      <c r="A667" t="str">
        <f>PROPER(TRIM('raw data'!A667))</f>
        <v>Female</v>
      </c>
      <c r="B667" t="str">
        <f>PROPER(TRIM('raw data'!B667))</f>
        <v>Group C</v>
      </c>
      <c r="C667" s="7" t="str">
        <f>PROPER(TRIM('raw data'!C667))</f>
        <v>Some High School</v>
      </c>
      <c r="D667" s="7" t="str">
        <f>PROPER(TRIM('raw data'!D667))</f>
        <v>Free/Reduced</v>
      </c>
      <c r="E667" s="7" t="str">
        <f>PROPER(TRIM('raw data'!E667))</f>
        <v>Completed</v>
      </c>
      <c r="F667" s="8">
        <v>50</v>
      </c>
      <c r="G667" s="8">
        <v>60</v>
      </c>
      <c r="H667" s="8">
        <v>60</v>
      </c>
      <c r="I667">
        <f t="shared" si="30"/>
        <v>170</v>
      </c>
      <c r="J667">
        <f t="shared" si="31"/>
        <v>56.666666666666664</v>
      </c>
      <c r="K667" s="7" t="str">
        <f t="shared" si="32"/>
        <v>pass</v>
      </c>
    </row>
    <row r="668" spans="1:11" x14ac:dyDescent="0.25">
      <c r="A668" t="str">
        <f>PROPER(TRIM('raw data'!A668))</f>
        <v>Female</v>
      </c>
      <c r="B668" t="str">
        <f>PROPER(TRIM('raw data'!B668))</f>
        <v>Group C</v>
      </c>
      <c r="C668" s="7" t="str">
        <f>PROPER(TRIM('raw data'!C668))</f>
        <v>Some College</v>
      </c>
      <c r="D668" s="7" t="str">
        <f>PROPER(TRIM('raw data'!D668))</f>
        <v>Free/Reduced</v>
      </c>
      <c r="E668" s="7" t="str">
        <f>PROPER(TRIM('raw data'!E668))</f>
        <v>Completed</v>
      </c>
      <c r="F668" s="8">
        <v>63</v>
      </c>
      <c r="G668" s="8">
        <v>73</v>
      </c>
      <c r="H668" s="8">
        <v>71</v>
      </c>
      <c r="I668">
        <f t="shared" si="30"/>
        <v>207</v>
      </c>
      <c r="J668">
        <f t="shared" si="31"/>
        <v>69</v>
      </c>
      <c r="K668" s="7" t="str">
        <f t="shared" si="32"/>
        <v>pass</v>
      </c>
    </row>
    <row r="669" spans="1:11" x14ac:dyDescent="0.25">
      <c r="A669" t="str">
        <f>PROPER(TRIM('raw data'!A669))</f>
        <v>Female</v>
      </c>
      <c r="B669" t="str">
        <f>PROPER(TRIM('raw data'!B669))</f>
        <v>Group B</v>
      </c>
      <c r="C669" s="7" t="str">
        <f>PROPER(TRIM('raw data'!C669))</f>
        <v>Bachelor'S Degree</v>
      </c>
      <c r="D669" s="7" t="str">
        <f>PROPER(TRIM('raw data'!D669))</f>
        <v>Free/Reduced</v>
      </c>
      <c r="E669" s="7" t="str">
        <f>PROPER(TRIM('raw data'!E669))</f>
        <v>None</v>
      </c>
      <c r="F669" s="8">
        <v>77</v>
      </c>
      <c r="G669" s="8">
        <v>85</v>
      </c>
      <c r="H669" s="8">
        <v>87</v>
      </c>
      <c r="I669">
        <f t="shared" si="30"/>
        <v>249</v>
      </c>
      <c r="J669">
        <f t="shared" si="31"/>
        <v>83</v>
      </c>
      <c r="K669" s="7" t="str">
        <f t="shared" si="32"/>
        <v>pass</v>
      </c>
    </row>
    <row r="670" spans="1:11" x14ac:dyDescent="0.25">
      <c r="A670" t="str">
        <f>PROPER(TRIM('raw data'!A670))</f>
        <v>Male</v>
      </c>
      <c r="B670" t="str">
        <f>PROPER(TRIM('raw data'!B670))</f>
        <v>Group C</v>
      </c>
      <c r="C670" s="7" t="str">
        <f>PROPER(TRIM('raw data'!C670))</f>
        <v>Some College</v>
      </c>
      <c r="D670" s="7" t="str">
        <f>PROPER(TRIM('raw data'!D670))</f>
        <v>Standard</v>
      </c>
      <c r="E670" s="7" t="str">
        <f>PROPER(TRIM('raw data'!E670))</f>
        <v>None</v>
      </c>
      <c r="F670" s="8">
        <v>73</v>
      </c>
      <c r="G670" s="8">
        <v>74</v>
      </c>
      <c r="H670" s="8">
        <v>61</v>
      </c>
      <c r="I670">
        <f t="shared" si="30"/>
        <v>208</v>
      </c>
      <c r="J670">
        <f t="shared" si="31"/>
        <v>69.333333333333329</v>
      </c>
      <c r="K670" s="7" t="str">
        <f t="shared" si="32"/>
        <v>pass</v>
      </c>
    </row>
    <row r="671" spans="1:11" x14ac:dyDescent="0.25">
      <c r="A671" t="str">
        <f>PROPER(TRIM('raw data'!A671))</f>
        <v>Male</v>
      </c>
      <c r="B671" t="str">
        <f>PROPER(TRIM('raw data'!B671))</f>
        <v>Group D</v>
      </c>
      <c r="C671" s="7" t="str">
        <f>PROPER(TRIM('raw data'!C671))</f>
        <v>Associate'S Degree</v>
      </c>
      <c r="D671" s="7" t="str">
        <f>PROPER(TRIM('raw data'!D671))</f>
        <v>Standard</v>
      </c>
      <c r="E671" s="7" t="str">
        <f>PROPER(TRIM('raw data'!E671))</f>
        <v>Completed</v>
      </c>
      <c r="F671" s="8">
        <v>81</v>
      </c>
      <c r="G671" s="8">
        <v>72</v>
      </c>
      <c r="H671" s="8">
        <v>77</v>
      </c>
      <c r="I671">
        <f t="shared" si="30"/>
        <v>230</v>
      </c>
      <c r="J671">
        <f t="shared" si="31"/>
        <v>76.666666666666671</v>
      </c>
      <c r="K671" s="7" t="str">
        <f t="shared" si="32"/>
        <v>pass</v>
      </c>
    </row>
    <row r="672" spans="1:11" x14ac:dyDescent="0.25">
      <c r="A672" t="str">
        <f>PROPER(TRIM('raw data'!A672))</f>
        <v>Female</v>
      </c>
      <c r="B672" t="str">
        <f>PROPER(TRIM('raw data'!B672))</f>
        <v>Group C</v>
      </c>
      <c r="C672" s="7" t="str">
        <f>PROPER(TRIM('raw data'!C672))</f>
        <v>High School</v>
      </c>
      <c r="D672" s="7" t="str">
        <f>PROPER(TRIM('raw data'!D672))</f>
        <v>Free/Reduced</v>
      </c>
      <c r="E672" s="7" t="str">
        <f>PROPER(TRIM('raw data'!E672))</f>
        <v>None</v>
      </c>
      <c r="F672" s="8">
        <v>66</v>
      </c>
      <c r="G672" s="8">
        <v>76</v>
      </c>
      <c r="H672" s="8">
        <v>68</v>
      </c>
      <c r="I672">
        <f t="shared" si="30"/>
        <v>210</v>
      </c>
      <c r="J672">
        <f t="shared" si="31"/>
        <v>70</v>
      </c>
      <c r="K672" s="7" t="str">
        <f t="shared" si="32"/>
        <v>pass</v>
      </c>
    </row>
    <row r="673" spans="1:11" x14ac:dyDescent="0.25">
      <c r="A673" t="str">
        <f>PROPER(TRIM('raw data'!A673))</f>
        <v>Male</v>
      </c>
      <c r="B673" t="str">
        <f>PROPER(TRIM('raw data'!B673))</f>
        <v>Group D</v>
      </c>
      <c r="C673" s="7" t="str">
        <f>PROPER(TRIM('raw data'!C673))</f>
        <v>Associate'S Degree</v>
      </c>
      <c r="D673" s="7" t="str">
        <f>PROPER(TRIM('raw data'!D673))</f>
        <v>Free/Reduced</v>
      </c>
      <c r="E673" s="7" t="str">
        <f>PROPER(TRIM('raw data'!E673))</f>
        <v>None</v>
      </c>
      <c r="F673" s="8">
        <v>52</v>
      </c>
      <c r="G673" s="8">
        <v>57</v>
      </c>
      <c r="H673" s="8">
        <v>50</v>
      </c>
      <c r="I673">
        <f t="shared" si="30"/>
        <v>159</v>
      </c>
      <c r="J673">
        <f t="shared" si="31"/>
        <v>53</v>
      </c>
      <c r="K673" s="7" t="str">
        <f t="shared" si="32"/>
        <v>pass</v>
      </c>
    </row>
    <row r="674" spans="1:11" x14ac:dyDescent="0.25">
      <c r="A674" t="str">
        <f>PROPER(TRIM('raw data'!A674))</f>
        <v>Female</v>
      </c>
      <c r="B674" t="str">
        <f>PROPER(TRIM('raw data'!B674))</f>
        <v>Group C</v>
      </c>
      <c r="C674" s="7" t="str">
        <f>PROPER(TRIM('raw data'!C674))</f>
        <v>Some College</v>
      </c>
      <c r="D674" s="7" t="str">
        <f>PROPER(TRIM('raw data'!D674))</f>
        <v>Standard</v>
      </c>
      <c r="E674" s="7" t="str">
        <f>PROPER(TRIM('raw data'!E674))</f>
        <v>None</v>
      </c>
      <c r="F674" s="8">
        <v>69</v>
      </c>
      <c r="G674" s="8">
        <v>78</v>
      </c>
      <c r="H674" s="8">
        <v>76</v>
      </c>
      <c r="I674">
        <f t="shared" si="30"/>
        <v>223</v>
      </c>
      <c r="J674">
        <f t="shared" si="31"/>
        <v>74.333333333333329</v>
      </c>
      <c r="K674" s="7" t="str">
        <f t="shared" si="32"/>
        <v>pass</v>
      </c>
    </row>
    <row r="675" spans="1:11" x14ac:dyDescent="0.25">
      <c r="A675" t="str">
        <f>PROPER(TRIM('raw data'!A675))</f>
        <v>Female</v>
      </c>
      <c r="B675" t="str">
        <f>PROPER(TRIM('raw data'!B675))</f>
        <v>Group C</v>
      </c>
      <c r="C675" s="7" t="str">
        <f>PROPER(TRIM('raw data'!C675))</f>
        <v>Associate'S Degree</v>
      </c>
      <c r="D675" s="7" t="str">
        <f>PROPER(TRIM('raw data'!D675))</f>
        <v>Standard</v>
      </c>
      <c r="E675" s="7" t="str">
        <f>PROPER(TRIM('raw data'!E675))</f>
        <v>Completed</v>
      </c>
      <c r="F675" s="8">
        <v>65</v>
      </c>
      <c r="G675" s="8">
        <v>84</v>
      </c>
      <c r="H675" s="8">
        <v>84</v>
      </c>
      <c r="I675">
        <f t="shared" si="30"/>
        <v>233</v>
      </c>
      <c r="J675">
        <f t="shared" si="31"/>
        <v>77.666666666666671</v>
      </c>
      <c r="K675" s="7" t="str">
        <f t="shared" si="32"/>
        <v>pass</v>
      </c>
    </row>
    <row r="676" spans="1:11" x14ac:dyDescent="0.25">
      <c r="A676" t="str">
        <f>PROPER(TRIM('raw data'!A676))</f>
        <v>Female</v>
      </c>
      <c r="B676" t="str">
        <f>PROPER(TRIM('raw data'!B676))</f>
        <v>Group D</v>
      </c>
      <c r="C676" s="7" t="str">
        <f>PROPER(TRIM('raw data'!C676))</f>
        <v>High School</v>
      </c>
      <c r="D676" s="7" t="str">
        <f>PROPER(TRIM('raw data'!D676))</f>
        <v>Standard</v>
      </c>
      <c r="E676" s="7" t="str">
        <f>PROPER(TRIM('raw data'!E676))</f>
        <v>Completed</v>
      </c>
      <c r="F676" s="8">
        <v>69</v>
      </c>
      <c r="G676" s="8">
        <v>77</v>
      </c>
      <c r="H676" s="8">
        <v>78</v>
      </c>
      <c r="I676">
        <f t="shared" si="30"/>
        <v>224</v>
      </c>
      <c r="J676">
        <f t="shared" si="31"/>
        <v>74.666666666666671</v>
      </c>
      <c r="K676" s="7" t="str">
        <f t="shared" si="32"/>
        <v>pass</v>
      </c>
    </row>
    <row r="677" spans="1:11" x14ac:dyDescent="0.25">
      <c r="A677" t="str">
        <f>PROPER(TRIM('raw data'!A677))</f>
        <v>Female</v>
      </c>
      <c r="B677" t="str">
        <f>PROPER(TRIM('raw data'!B677))</f>
        <v>Group B</v>
      </c>
      <c r="C677" s="7" t="str">
        <f>PROPER(TRIM('raw data'!C677))</f>
        <v>Some College</v>
      </c>
      <c r="D677" s="7" t="str">
        <f>PROPER(TRIM('raw data'!D677))</f>
        <v>Standard</v>
      </c>
      <c r="E677" s="7" t="str">
        <f>PROPER(TRIM('raw data'!E677))</f>
        <v>Completed</v>
      </c>
      <c r="F677" s="8">
        <v>50</v>
      </c>
      <c r="G677" s="8">
        <v>64</v>
      </c>
      <c r="H677" s="8">
        <v>66</v>
      </c>
      <c r="I677">
        <f t="shared" si="30"/>
        <v>180</v>
      </c>
      <c r="J677">
        <f t="shared" si="31"/>
        <v>60</v>
      </c>
      <c r="K677" s="7" t="str">
        <f t="shared" si="32"/>
        <v>pass</v>
      </c>
    </row>
    <row r="678" spans="1:11" x14ac:dyDescent="0.25">
      <c r="A678" t="str">
        <f>PROPER(TRIM('raw data'!A678))</f>
        <v>Female</v>
      </c>
      <c r="B678" t="str">
        <f>PROPER(TRIM('raw data'!B678))</f>
        <v>Group E</v>
      </c>
      <c r="C678" s="7" t="str">
        <f>PROPER(TRIM('raw data'!C678))</f>
        <v>Some College</v>
      </c>
      <c r="D678" s="7" t="str">
        <f>PROPER(TRIM('raw data'!D678))</f>
        <v>Standard</v>
      </c>
      <c r="E678" s="7" t="str">
        <f>PROPER(TRIM('raw data'!E678))</f>
        <v>Completed</v>
      </c>
      <c r="F678" s="8">
        <v>73</v>
      </c>
      <c r="G678" s="8">
        <v>78</v>
      </c>
      <c r="H678" s="8">
        <v>76</v>
      </c>
      <c r="I678">
        <f t="shared" si="30"/>
        <v>227</v>
      </c>
      <c r="J678">
        <f t="shared" si="31"/>
        <v>75.666666666666671</v>
      </c>
      <c r="K678" s="7" t="str">
        <f t="shared" si="32"/>
        <v>pass</v>
      </c>
    </row>
    <row r="679" spans="1:11" x14ac:dyDescent="0.25">
      <c r="A679" t="str">
        <f>PROPER(TRIM('raw data'!A679))</f>
        <v>Female</v>
      </c>
      <c r="B679" t="str">
        <f>PROPER(TRIM('raw data'!B679))</f>
        <v>Group C</v>
      </c>
      <c r="C679" s="7" t="str">
        <f>PROPER(TRIM('raw data'!C679))</f>
        <v>Some High School</v>
      </c>
      <c r="D679" s="7" t="str">
        <f>PROPER(TRIM('raw data'!D679))</f>
        <v>Standard</v>
      </c>
      <c r="E679" s="7" t="str">
        <f>PROPER(TRIM('raw data'!E679))</f>
        <v>Completed</v>
      </c>
      <c r="F679" s="8">
        <v>70</v>
      </c>
      <c r="G679" s="8">
        <v>82</v>
      </c>
      <c r="H679" s="8">
        <v>76</v>
      </c>
      <c r="I679">
        <f t="shared" si="30"/>
        <v>228</v>
      </c>
      <c r="J679">
        <f t="shared" si="31"/>
        <v>76</v>
      </c>
      <c r="K679" s="7" t="str">
        <f t="shared" si="32"/>
        <v>pass</v>
      </c>
    </row>
    <row r="680" spans="1:11" x14ac:dyDescent="0.25">
      <c r="A680" t="str">
        <f>PROPER(TRIM('raw data'!A680))</f>
        <v>Male</v>
      </c>
      <c r="B680" t="str">
        <f>PROPER(TRIM('raw data'!B680))</f>
        <v>Group D</v>
      </c>
      <c r="C680" s="7" t="str">
        <f>PROPER(TRIM('raw data'!C680))</f>
        <v>Associate'S Degree</v>
      </c>
      <c r="D680" s="7" t="str">
        <f>PROPER(TRIM('raw data'!D680))</f>
        <v>Free/Reduced</v>
      </c>
      <c r="E680" s="7" t="str">
        <f>PROPER(TRIM('raw data'!E680))</f>
        <v>None</v>
      </c>
      <c r="F680" s="8">
        <v>81</v>
      </c>
      <c r="G680" s="8">
        <v>75</v>
      </c>
      <c r="H680" s="8">
        <v>78</v>
      </c>
      <c r="I680">
        <f t="shared" si="30"/>
        <v>234</v>
      </c>
      <c r="J680">
        <f t="shared" si="31"/>
        <v>78</v>
      </c>
      <c r="K680" s="7" t="str">
        <f t="shared" si="32"/>
        <v>pass</v>
      </c>
    </row>
    <row r="681" spans="1:11" x14ac:dyDescent="0.25">
      <c r="A681" t="str">
        <f>PROPER(TRIM('raw data'!A681))</f>
        <v>Male</v>
      </c>
      <c r="B681" t="str">
        <f>PROPER(TRIM('raw data'!B681))</f>
        <v>Group D</v>
      </c>
      <c r="C681" s="7" t="str">
        <f>PROPER(TRIM('raw data'!C681))</f>
        <v>Some College</v>
      </c>
      <c r="D681" s="7" t="str">
        <f>PROPER(TRIM('raw data'!D681))</f>
        <v>Free/Reduced</v>
      </c>
      <c r="E681" s="7" t="str">
        <f>PROPER(TRIM('raw data'!E681))</f>
        <v>None</v>
      </c>
      <c r="F681" s="8">
        <v>63</v>
      </c>
      <c r="G681" s="8">
        <v>61</v>
      </c>
      <c r="H681" s="8">
        <v>60</v>
      </c>
      <c r="I681">
        <f t="shared" si="30"/>
        <v>184</v>
      </c>
      <c r="J681">
        <f t="shared" si="31"/>
        <v>61.333333333333336</v>
      </c>
      <c r="K681" s="7" t="str">
        <f t="shared" si="32"/>
        <v>pass</v>
      </c>
    </row>
    <row r="682" spans="1:11" x14ac:dyDescent="0.25">
      <c r="A682" t="str">
        <f>PROPER(TRIM('raw data'!A682))</f>
        <v>Female</v>
      </c>
      <c r="B682" t="str">
        <f>PROPER(TRIM('raw data'!B682))</f>
        <v>Group D</v>
      </c>
      <c r="C682" s="7" t="str">
        <f>PROPER(TRIM('raw data'!C682))</f>
        <v>High School</v>
      </c>
      <c r="D682" s="7" t="str">
        <f>PROPER(TRIM('raw data'!D682))</f>
        <v>Standard</v>
      </c>
      <c r="E682" s="7" t="str">
        <f>PROPER(TRIM('raw data'!E682))</f>
        <v>None</v>
      </c>
      <c r="F682" s="8">
        <v>67</v>
      </c>
      <c r="G682" s="8">
        <v>72</v>
      </c>
      <c r="H682" s="8">
        <v>74</v>
      </c>
      <c r="I682">
        <f t="shared" si="30"/>
        <v>213</v>
      </c>
      <c r="J682">
        <f t="shared" si="31"/>
        <v>71</v>
      </c>
      <c r="K682" s="7" t="str">
        <f t="shared" si="32"/>
        <v>pass</v>
      </c>
    </row>
    <row r="683" spans="1:11" x14ac:dyDescent="0.25">
      <c r="A683" t="str">
        <f>PROPER(TRIM('raw data'!A683))</f>
        <v>Male</v>
      </c>
      <c r="B683" t="str">
        <f>PROPER(TRIM('raw data'!B683))</f>
        <v>Group B</v>
      </c>
      <c r="C683" s="7" t="str">
        <f>PROPER(TRIM('raw data'!C683))</f>
        <v>High School</v>
      </c>
      <c r="D683" s="7" t="str">
        <f>PROPER(TRIM('raw data'!D683))</f>
        <v>Standard</v>
      </c>
      <c r="E683" s="7" t="str">
        <f>PROPER(TRIM('raw data'!E683))</f>
        <v>None</v>
      </c>
      <c r="F683" s="8">
        <v>60</v>
      </c>
      <c r="G683" s="8">
        <v>68</v>
      </c>
      <c r="H683" s="8">
        <v>60</v>
      </c>
      <c r="I683">
        <f t="shared" si="30"/>
        <v>188</v>
      </c>
      <c r="J683">
        <f t="shared" si="31"/>
        <v>62.666666666666664</v>
      </c>
      <c r="K683" s="7" t="str">
        <f t="shared" si="32"/>
        <v>pass</v>
      </c>
    </row>
    <row r="684" spans="1:11" x14ac:dyDescent="0.25">
      <c r="A684" t="str">
        <f>PROPER(TRIM('raw data'!A684))</f>
        <v>Male</v>
      </c>
      <c r="B684" t="str">
        <f>PROPER(TRIM('raw data'!B684))</f>
        <v>Group B</v>
      </c>
      <c r="C684" s="7" t="str">
        <f>PROPER(TRIM('raw data'!C684))</f>
        <v>High School</v>
      </c>
      <c r="D684" s="7" t="str">
        <f>PROPER(TRIM('raw data'!D684))</f>
        <v>Standard</v>
      </c>
      <c r="E684" s="7" t="str">
        <f>PROPER(TRIM('raw data'!E684))</f>
        <v>None</v>
      </c>
      <c r="F684" s="8">
        <v>62</v>
      </c>
      <c r="G684" s="8">
        <v>55</v>
      </c>
      <c r="H684" s="8">
        <v>54</v>
      </c>
      <c r="I684">
        <f t="shared" si="30"/>
        <v>171</v>
      </c>
      <c r="J684">
        <f t="shared" si="31"/>
        <v>57</v>
      </c>
      <c r="K684" s="7" t="str">
        <f t="shared" si="32"/>
        <v>pass</v>
      </c>
    </row>
    <row r="685" spans="1:11" x14ac:dyDescent="0.25">
      <c r="A685" t="str">
        <f>PROPER(TRIM('raw data'!A685))</f>
        <v>Female</v>
      </c>
      <c r="B685" t="str">
        <f>PROPER(TRIM('raw data'!B685))</f>
        <v>Group C</v>
      </c>
      <c r="C685" s="7" t="str">
        <f>PROPER(TRIM('raw data'!C685))</f>
        <v>Some High School</v>
      </c>
      <c r="D685" s="7" t="str">
        <f>PROPER(TRIM('raw data'!D685))</f>
        <v>Free/Reduced</v>
      </c>
      <c r="E685" s="7" t="str">
        <f>PROPER(TRIM('raw data'!E685))</f>
        <v>Completed</v>
      </c>
      <c r="F685" s="8">
        <v>29</v>
      </c>
      <c r="G685" s="8">
        <v>40</v>
      </c>
      <c r="H685" s="8">
        <v>44</v>
      </c>
      <c r="I685">
        <f t="shared" si="30"/>
        <v>113</v>
      </c>
      <c r="J685">
        <f t="shared" si="31"/>
        <v>37.666666666666664</v>
      </c>
      <c r="K685" s="7" t="str">
        <f t="shared" si="32"/>
        <v>fail</v>
      </c>
    </row>
    <row r="686" spans="1:11" x14ac:dyDescent="0.25">
      <c r="A686" t="str">
        <f>PROPER(TRIM('raw data'!A686))</f>
        <v>Male</v>
      </c>
      <c r="B686" t="str">
        <f>PROPER(TRIM('raw data'!B686))</f>
        <v>Group B</v>
      </c>
      <c r="C686" s="7" t="str">
        <f>PROPER(TRIM('raw data'!C686))</f>
        <v>Some College</v>
      </c>
      <c r="D686" s="7" t="str">
        <f>PROPER(TRIM('raw data'!D686))</f>
        <v>Standard</v>
      </c>
      <c r="E686" s="7" t="str">
        <f>PROPER(TRIM('raw data'!E686))</f>
        <v>Completed</v>
      </c>
      <c r="F686" s="8">
        <v>62</v>
      </c>
      <c r="G686" s="8">
        <v>66</v>
      </c>
      <c r="H686" s="8">
        <v>68</v>
      </c>
      <c r="I686">
        <f t="shared" si="30"/>
        <v>196</v>
      </c>
      <c r="J686">
        <f t="shared" si="31"/>
        <v>65.333333333333329</v>
      </c>
      <c r="K686" s="7" t="str">
        <f t="shared" si="32"/>
        <v>pass</v>
      </c>
    </row>
    <row r="687" spans="1:11" x14ac:dyDescent="0.25">
      <c r="A687" t="str">
        <f>PROPER(TRIM('raw data'!A687))</f>
        <v>Female</v>
      </c>
      <c r="B687" t="str">
        <f>PROPER(TRIM('raw data'!B687))</f>
        <v>Group E</v>
      </c>
      <c r="C687" s="7" t="str">
        <f>PROPER(TRIM('raw data'!C687))</f>
        <v>Master'S Degree</v>
      </c>
      <c r="D687" s="7" t="str">
        <f>PROPER(TRIM('raw data'!D687))</f>
        <v>Standard</v>
      </c>
      <c r="E687" s="7" t="str">
        <f>PROPER(TRIM('raw data'!E687))</f>
        <v>Completed</v>
      </c>
      <c r="F687" s="8">
        <v>94</v>
      </c>
      <c r="G687" s="8">
        <v>99</v>
      </c>
      <c r="H687" s="8">
        <v>100</v>
      </c>
      <c r="I687">
        <f t="shared" si="30"/>
        <v>293</v>
      </c>
      <c r="J687">
        <f t="shared" si="31"/>
        <v>97.666666666666671</v>
      </c>
      <c r="K687" s="7" t="str">
        <f t="shared" si="32"/>
        <v>pass</v>
      </c>
    </row>
    <row r="688" spans="1:11" x14ac:dyDescent="0.25">
      <c r="A688" t="str">
        <f>PROPER(TRIM('raw data'!A688))</f>
        <v>Male</v>
      </c>
      <c r="B688" t="str">
        <f>PROPER(TRIM('raw data'!B688))</f>
        <v>Group E</v>
      </c>
      <c r="C688" s="7" t="str">
        <f>PROPER(TRIM('raw data'!C688))</f>
        <v>Some College</v>
      </c>
      <c r="D688" s="7" t="str">
        <f>PROPER(TRIM('raw data'!D688))</f>
        <v>Standard</v>
      </c>
      <c r="E688" s="7" t="str">
        <f>PROPER(TRIM('raw data'!E688))</f>
        <v>Completed</v>
      </c>
      <c r="F688" s="8">
        <v>85</v>
      </c>
      <c r="G688" s="8">
        <v>75</v>
      </c>
      <c r="H688" s="8">
        <v>68</v>
      </c>
      <c r="I688">
        <f t="shared" si="30"/>
        <v>228</v>
      </c>
      <c r="J688">
        <f t="shared" si="31"/>
        <v>76</v>
      </c>
      <c r="K688" s="7" t="str">
        <f t="shared" si="32"/>
        <v>pass</v>
      </c>
    </row>
    <row r="689" spans="1:11" x14ac:dyDescent="0.25">
      <c r="A689" t="str">
        <f>PROPER(TRIM('raw data'!A689))</f>
        <v>Male</v>
      </c>
      <c r="B689" t="str">
        <f>PROPER(TRIM('raw data'!B689))</f>
        <v>Group D</v>
      </c>
      <c r="C689" s="7" t="str">
        <f>PROPER(TRIM('raw data'!C689))</f>
        <v>Associate'S Degree</v>
      </c>
      <c r="D689" s="7" t="str">
        <f>PROPER(TRIM('raw data'!D689))</f>
        <v>Free/Reduced</v>
      </c>
      <c r="E689" s="7" t="str">
        <f>PROPER(TRIM('raw data'!E689))</f>
        <v>None</v>
      </c>
      <c r="F689" s="8">
        <v>77</v>
      </c>
      <c r="G689" s="8">
        <v>78</v>
      </c>
      <c r="H689" s="8">
        <v>73</v>
      </c>
      <c r="I689">
        <f t="shared" si="30"/>
        <v>228</v>
      </c>
      <c r="J689">
        <f t="shared" si="31"/>
        <v>76</v>
      </c>
      <c r="K689" s="7" t="str">
        <f t="shared" si="32"/>
        <v>pass</v>
      </c>
    </row>
    <row r="690" spans="1:11" x14ac:dyDescent="0.25">
      <c r="A690" t="str">
        <f>PROPER(TRIM('raw data'!A690))</f>
        <v>Male</v>
      </c>
      <c r="B690" t="str">
        <f>PROPER(TRIM('raw data'!B690))</f>
        <v>Group A</v>
      </c>
      <c r="C690" s="7" t="str">
        <f>PROPER(TRIM('raw data'!C690))</f>
        <v>High School</v>
      </c>
      <c r="D690" s="7" t="str">
        <f>PROPER(TRIM('raw data'!D690))</f>
        <v>Free/Reduced</v>
      </c>
      <c r="E690" s="7" t="str">
        <f>PROPER(TRIM('raw data'!E690))</f>
        <v>None</v>
      </c>
      <c r="F690" s="8">
        <v>53</v>
      </c>
      <c r="G690" s="8">
        <v>58</v>
      </c>
      <c r="H690" s="8">
        <v>44</v>
      </c>
      <c r="I690">
        <f t="shared" si="30"/>
        <v>155</v>
      </c>
      <c r="J690">
        <f t="shared" si="31"/>
        <v>51.666666666666664</v>
      </c>
      <c r="K690" s="7" t="str">
        <f t="shared" si="32"/>
        <v>pass</v>
      </c>
    </row>
    <row r="691" spans="1:11" x14ac:dyDescent="0.25">
      <c r="A691" t="str">
        <f>PROPER(TRIM('raw data'!A691))</f>
        <v>Male</v>
      </c>
      <c r="B691" t="str">
        <f>PROPER(TRIM('raw data'!B691))</f>
        <v>Group E</v>
      </c>
      <c r="C691" s="7" t="str">
        <f>PROPER(TRIM('raw data'!C691))</f>
        <v>Some College</v>
      </c>
      <c r="D691" s="7" t="str">
        <f>PROPER(TRIM('raw data'!D691))</f>
        <v>Free/Reduced</v>
      </c>
      <c r="E691" s="7" t="str">
        <f>PROPER(TRIM('raw data'!E691))</f>
        <v>None</v>
      </c>
      <c r="F691" s="8">
        <v>93</v>
      </c>
      <c r="G691" s="8">
        <v>90</v>
      </c>
      <c r="H691" s="8">
        <v>83</v>
      </c>
      <c r="I691">
        <f t="shared" si="30"/>
        <v>266</v>
      </c>
      <c r="J691">
        <f t="shared" si="31"/>
        <v>88.666666666666671</v>
      </c>
      <c r="K691" s="7" t="str">
        <f t="shared" si="32"/>
        <v>pass</v>
      </c>
    </row>
    <row r="692" spans="1:11" x14ac:dyDescent="0.25">
      <c r="A692" t="str">
        <f>PROPER(TRIM('raw data'!A692))</f>
        <v>Female</v>
      </c>
      <c r="B692" t="str">
        <f>PROPER(TRIM('raw data'!B692))</f>
        <v>Group C</v>
      </c>
      <c r="C692" s="7" t="str">
        <f>PROPER(TRIM('raw data'!C692))</f>
        <v>Associate'S Degree</v>
      </c>
      <c r="D692" s="7" t="str">
        <f>PROPER(TRIM('raw data'!D692))</f>
        <v>Standard</v>
      </c>
      <c r="E692" s="7" t="str">
        <f>PROPER(TRIM('raw data'!E692))</f>
        <v>None</v>
      </c>
      <c r="F692" s="8">
        <v>49</v>
      </c>
      <c r="G692" s="8">
        <v>53</v>
      </c>
      <c r="H692" s="8">
        <v>53</v>
      </c>
      <c r="I692">
        <f t="shared" si="30"/>
        <v>155</v>
      </c>
      <c r="J692">
        <f t="shared" si="31"/>
        <v>51.666666666666664</v>
      </c>
      <c r="K692" s="7" t="str">
        <f t="shared" si="32"/>
        <v>pass</v>
      </c>
    </row>
    <row r="693" spans="1:11" x14ac:dyDescent="0.25">
      <c r="A693" t="str">
        <f>PROPER(TRIM('raw data'!A693))</f>
        <v>Female</v>
      </c>
      <c r="B693" t="str">
        <f>PROPER(TRIM('raw data'!B693))</f>
        <v>Group E</v>
      </c>
      <c r="C693" s="7" t="str">
        <f>PROPER(TRIM('raw data'!C693))</f>
        <v>Associate'S Degree</v>
      </c>
      <c r="D693" s="7" t="str">
        <f>PROPER(TRIM('raw data'!D693))</f>
        <v>Free/Reduced</v>
      </c>
      <c r="E693" s="7" t="str">
        <f>PROPER(TRIM('raw data'!E693))</f>
        <v>None</v>
      </c>
      <c r="F693" s="8">
        <v>73</v>
      </c>
      <c r="G693" s="8">
        <v>76</v>
      </c>
      <c r="H693" s="8">
        <v>78</v>
      </c>
      <c r="I693">
        <f t="shared" si="30"/>
        <v>227</v>
      </c>
      <c r="J693">
        <f t="shared" si="31"/>
        <v>75.666666666666671</v>
      </c>
      <c r="K693" s="7" t="str">
        <f t="shared" si="32"/>
        <v>pass</v>
      </c>
    </row>
    <row r="694" spans="1:11" x14ac:dyDescent="0.25">
      <c r="A694" t="str">
        <f>PROPER(TRIM('raw data'!A694))</f>
        <v>Female</v>
      </c>
      <c r="B694" t="str">
        <f>PROPER(TRIM('raw data'!B694))</f>
        <v>Group C</v>
      </c>
      <c r="C694" s="7" t="str">
        <f>PROPER(TRIM('raw data'!C694))</f>
        <v>Bachelor'S Degree</v>
      </c>
      <c r="D694" s="7" t="str">
        <f>PROPER(TRIM('raw data'!D694))</f>
        <v>Free/Reduced</v>
      </c>
      <c r="E694" s="7" t="str">
        <f>PROPER(TRIM('raw data'!E694))</f>
        <v>Completed</v>
      </c>
      <c r="F694" s="8">
        <v>66</v>
      </c>
      <c r="G694" s="8">
        <v>74</v>
      </c>
      <c r="H694" s="8">
        <v>81</v>
      </c>
      <c r="I694">
        <f t="shared" si="30"/>
        <v>221</v>
      </c>
      <c r="J694">
        <f t="shared" si="31"/>
        <v>73.666666666666671</v>
      </c>
      <c r="K694" s="7" t="str">
        <f t="shared" si="32"/>
        <v>pass</v>
      </c>
    </row>
    <row r="695" spans="1:11" x14ac:dyDescent="0.25">
      <c r="A695" t="str">
        <f>PROPER(TRIM('raw data'!A695))</f>
        <v>Female</v>
      </c>
      <c r="B695" t="str">
        <f>PROPER(TRIM('raw data'!B695))</f>
        <v>Group D</v>
      </c>
      <c r="C695" s="7" t="str">
        <f>PROPER(TRIM('raw data'!C695))</f>
        <v>Associate'S Degree</v>
      </c>
      <c r="D695" s="7" t="str">
        <f>PROPER(TRIM('raw data'!D695))</f>
        <v>Standard</v>
      </c>
      <c r="E695" s="7" t="str">
        <f>PROPER(TRIM('raw data'!E695))</f>
        <v>None</v>
      </c>
      <c r="F695" s="8">
        <v>77</v>
      </c>
      <c r="G695" s="8">
        <v>77</v>
      </c>
      <c r="H695" s="8">
        <v>73</v>
      </c>
      <c r="I695">
        <f t="shared" si="30"/>
        <v>227</v>
      </c>
      <c r="J695">
        <f t="shared" si="31"/>
        <v>75.666666666666671</v>
      </c>
      <c r="K695" s="7" t="str">
        <f t="shared" si="32"/>
        <v>pass</v>
      </c>
    </row>
    <row r="696" spans="1:11" x14ac:dyDescent="0.25">
      <c r="A696" t="str">
        <f>PROPER(TRIM('raw data'!A696))</f>
        <v>Female</v>
      </c>
      <c r="B696" t="str">
        <f>PROPER(TRIM('raw data'!B696))</f>
        <v>Group C</v>
      </c>
      <c r="C696" s="7" t="str">
        <f>PROPER(TRIM('raw data'!C696))</f>
        <v>Some High School</v>
      </c>
      <c r="D696" s="7" t="str">
        <f>PROPER(TRIM('raw data'!D696))</f>
        <v>Standard</v>
      </c>
      <c r="E696" s="7" t="str">
        <f>PROPER(TRIM('raw data'!E696))</f>
        <v>None</v>
      </c>
      <c r="F696" s="8">
        <v>49</v>
      </c>
      <c r="G696" s="8">
        <v>63</v>
      </c>
      <c r="H696" s="8">
        <v>56</v>
      </c>
      <c r="I696">
        <f t="shared" si="30"/>
        <v>168</v>
      </c>
      <c r="J696">
        <f t="shared" si="31"/>
        <v>56</v>
      </c>
      <c r="K696" s="7" t="str">
        <f t="shared" si="32"/>
        <v>pass</v>
      </c>
    </row>
    <row r="697" spans="1:11" x14ac:dyDescent="0.25">
      <c r="A697" t="str">
        <f>PROPER(TRIM('raw data'!A697))</f>
        <v>Female</v>
      </c>
      <c r="B697" t="str">
        <f>PROPER(TRIM('raw data'!B697))</f>
        <v>Group D</v>
      </c>
      <c r="C697" s="7" t="str">
        <f>PROPER(TRIM('raw data'!C697))</f>
        <v>Some College</v>
      </c>
      <c r="D697" s="7" t="str">
        <f>PROPER(TRIM('raw data'!D697))</f>
        <v>Free/Reduced</v>
      </c>
      <c r="E697" s="7" t="str">
        <f>PROPER(TRIM('raw data'!E697))</f>
        <v>None</v>
      </c>
      <c r="F697" s="8">
        <v>79</v>
      </c>
      <c r="G697" s="8">
        <v>89</v>
      </c>
      <c r="H697" s="8">
        <v>86</v>
      </c>
      <c r="I697">
        <f t="shared" si="30"/>
        <v>254</v>
      </c>
      <c r="J697">
        <f t="shared" si="31"/>
        <v>84.666666666666671</v>
      </c>
      <c r="K697" s="7" t="str">
        <f t="shared" si="32"/>
        <v>pass</v>
      </c>
    </row>
    <row r="698" spans="1:11" x14ac:dyDescent="0.25">
      <c r="A698" t="str">
        <f>PROPER(TRIM('raw data'!A698))</f>
        <v>Female</v>
      </c>
      <c r="B698" t="str">
        <f>PROPER(TRIM('raw data'!B698))</f>
        <v>Group C</v>
      </c>
      <c r="C698" s="7" t="str">
        <f>PROPER(TRIM('raw data'!C698))</f>
        <v>Associate'S Degree</v>
      </c>
      <c r="D698" s="7" t="str">
        <f>PROPER(TRIM('raw data'!D698))</f>
        <v>Standard</v>
      </c>
      <c r="E698" s="7" t="str">
        <f>PROPER(TRIM('raw data'!E698))</f>
        <v>Completed</v>
      </c>
      <c r="F698" s="8">
        <v>75</v>
      </c>
      <c r="G698" s="8">
        <v>82</v>
      </c>
      <c r="H698" s="8">
        <v>90</v>
      </c>
      <c r="I698">
        <f t="shared" si="30"/>
        <v>247</v>
      </c>
      <c r="J698">
        <f t="shared" si="31"/>
        <v>82.333333333333329</v>
      </c>
      <c r="K698" s="7" t="str">
        <f t="shared" si="32"/>
        <v>pass</v>
      </c>
    </row>
    <row r="699" spans="1:11" x14ac:dyDescent="0.25">
      <c r="A699" t="str">
        <f>PROPER(TRIM('raw data'!A699))</f>
        <v>Female</v>
      </c>
      <c r="B699" t="str">
        <f>PROPER(TRIM('raw data'!B699))</f>
        <v>Group A</v>
      </c>
      <c r="C699" s="7" t="str">
        <f>PROPER(TRIM('raw data'!C699))</f>
        <v>Bachelor'S Degree</v>
      </c>
      <c r="D699" s="7" t="str">
        <f>PROPER(TRIM('raw data'!D699))</f>
        <v>Standard</v>
      </c>
      <c r="E699" s="7" t="str">
        <f>PROPER(TRIM('raw data'!E699))</f>
        <v>None</v>
      </c>
      <c r="F699" s="8">
        <v>59</v>
      </c>
      <c r="G699" s="8">
        <v>72</v>
      </c>
      <c r="H699" s="8">
        <v>70</v>
      </c>
      <c r="I699">
        <f t="shared" si="30"/>
        <v>201</v>
      </c>
      <c r="J699">
        <f t="shared" si="31"/>
        <v>67</v>
      </c>
      <c r="K699" s="7" t="str">
        <f t="shared" si="32"/>
        <v>pass</v>
      </c>
    </row>
    <row r="700" spans="1:11" x14ac:dyDescent="0.25">
      <c r="A700" t="str">
        <f>PROPER(TRIM('raw data'!A700))</f>
        <v>Female</v>
      </c>
      <c r="B700" t="str">
        <f>PROPER(TRIM('raw data'!B700))</f>
        <v>Group D</v>
      </c>
      <c r="C700" s="7" t="str">
        <f>PROPER(TRIM('raw data'!C700))</f>
        <v>Associate'S Degree</v>
      </c>
      <c r="D700" s="7" t="str">
        <f>PROPER(TRIM('raw data'!D700))</f>
        <v>Standard</v>
      </c>
      <c r="E700" s="7" t="str">
        <f>PROPER(TRIM('raw data'!E700))</f>
        <v>Completed</v>
      </c>
      <c r="F700" s="8">
        <v>57</v>
      </c>
      <c r="G700" s="8">
        <v>78</v>
      </c>
      <c r="H700" s="8">
        <v>79</v>
      </c>
      <c r="I700">
        <f t="shared" si="30"/>
        <v>214</v>
      </c>
      <c r="J700">
        <f t="shared" si="31"/>
        <v>71.333333333333329</v>
      </c>
      <c r="K700" s="7" t="str">
        <f t="shared" si="32"/>
        <v>pass</v>
      </c>
    </row>
    <row r="701" spans="1:11" x14ac:dyDescent="0.25">
      <c r="A701" t="str">
        <f>PROPER(TRIM('raw data'!A701))</f>
        <v>Male</v>
      </c>
      <c r="B701" t="str">
        <f>PROPER(TRIM('raw data'!B701))</f>
        <v>Group C</v>
      </c>
      <c r="C701" s="7" t="str">
        <f>PROPER(TRIM('raw data'!C701))</f>
        <v>High School</v>
      </c>
      <c r="D701" s="7" t="str">
        <f>PROPER(TRIM('raw data'!D701))</f>
        <v>Free/Reduced</v>
      </c>
      <c r="E701" s="7" t="str">
        <f>PROPER(TRIM('raw data'!E701))</f>
        <v>None</v>
      </c>
      <c r="F701" s="8">
        <v>66</v>
      </c>
      <c r="G701" s="8">
        <v>66</v>
      </c>
      <c r="H701" s="8">
        <v>59</v>
      </c>
      <c r="I701">
        <f t="shared" si="30"/>
        <v>191</v>
      </c>
      <c r="J701">
        <f t="shared" si="31"/>
        <v>63.666666666666664</v>
      </c>
      <c r="K701" s="7" t="str">
        <f t="shared" si="32"/>
        <v>pass</v>
      </c>
    </row>
    <row r="702" spans="1:11" x14ac:dyDescent="0.25">
      <c r="A702" t="str">
        <f>PROPER(TRIM('raw data'!A702))</f>
        <v>Female</v>
      </c>
      <c r="B702" t="str">
        <f>PROPER(TRIM('raw data'!B702))</f>
        <v>Group E</v>
      </c>
      <c r="C702" s="7" t="str">
        <f>PROPER(TRIM('raw data'!C702))</f>
        <v>Bachelor'S Degree</v>
      </c>
      <c r="D702" s="7" t="str">
        <f>PROPER(TRIM('raw data'!D702))</f>
        <v>Standard</v>
      </c>
      <c r="E702" s="7" t="str">
        <f>PROPER(TRIM('raw data'!E702))</f>
        <v>Completed</v>
      </c>
      <c r="F702" s="8">
        <v>79</v>
      </c>
      <c r="G702" s="8">
        <v>81</v>
      </c>
      <c r="H702" s="8">
        <v>82</v>
      </c>
      <c r="I702">
        <f t="shared" si="30"/>
        <v>242</v>
      </c>
      <c r="J702">
        <f t="shared" si="31"/>
        <v>80.666666666666671</v>
      </c>
      <c r="K702" s="7" t="str">
        <f t="shared" si="32"/>
        <v>pass</v>
      </c>
    </row>
    <row r="703" spans="1:11" x14ac:dyDescent="0.25">
      <c r="A703" t="str">
        <f>PROPER(TRIM('raw data'!A703))</f>
        <v>Female</v>
      </c>
      <c r="B703" t="str">
        <f>PROPER(TRIM('raw data'!B703))</f>
        <v>Group B</v>
      </c>
      <c r="C703" s="7" t="str">
        <f>PROPER(TRIM('raw data'!C703))</f>
        <v>Some High School</v>
      </c>
      <c r="D703" s="7" t="str">
        <f>PROPER(TRIM('raw data'!D703))</f>
        <v>Standard</v>
      </c>
      <c r="E703" s="7" t="str">
        <f>PROPER(TRIM('raw data'!E703))</f>
        <v>None</v>
      </c>
      <c r="F703" s="8">
        <v>57</v>
      </c>
      <c r="G703" s="8">
        <v>67</v>
      </c>
      <c r="H703" s="8">
        <v>72</v>
      </c>
      <c r="I703">
        <f t="shared" si="30"/>
        <v>196</v>
      </c>
      <c r="J703">
        <f t="shared" si="31"/>
        <v>65.333333333333329</v>
      </c>
      <c r="K703" s="7" t="str">
        <f t="shared" si="32"/>
        <v>pass</v>
      </c>
    </row>
    <row r="704" spans="1:11" x14ac:dyDescent="0.25">
      <c r="A704" t="str">
        <f>PROPER(TRIM('raw data'!A704))</f>
        <v>Male</v>
      </c>
      <c r="B704" t="str">
        <f>PROPER(TRIM('raw data'!B704))</f>
        <v>Group A</v>
      </c>
      <c r="C704" s="7" t="str">
        <f>PROPER(TRIM('raw data'!C704))</f>
        <v>Bachelor'S Degree</v>
      </c>
      <c r="D704" s="7" t="str">
        <f>PROPER(TRIM('raw data'!D704))</f>
        <v>Standard</v>
      </c>
      <c r="E704" s="7" t="str">
        <f>PROPER(TRIM('raw data'!E704))</f>
        <v>Completed</v>
      </c>
      <c r="F704" s="8">
        <v>87</v>
      </c>
      <c r="G704" s="8">
        <v>84</v>
      </c>
      <c r="H704" s="8">
        <v>87</v>
      </c>
      <c r="I704">
        <f t="shared" si="30"/>
        <v>258</v>
      </c>
      <c r="J704">
        <f t="shared" si="31"/>
        <v>86</v>
      </c>
      <c r="K704" s="7" t="str">
        <f t="shared" si="32"/>
        <v>pass</v>
      </c>
    </row>
    <row r="705" spans="1:11" x14ac:dyDescent="0.25">
      <c r="A705" t="str">
        <f>PROPER(TRIM('raw data'!A705))</f>
        <v>Female</v>
      </c>
      <c r="B705" t="str">
        <f>PROPER(TRIM('raw data'!B705))</f>
        <v>Group D</v>
      </c>
      <c r="C705" s="7" t="str">
        <f>PROPER(TRIM('raw data'!C705))</f>
        <v>Some College</v>
      </c>
      <c r="D705" s="7" t="str">
        <f>PROPER(TRIM('raw data'!D705))</f>
        <v>Standard</v>
      </c>
      <c r="E705" s="7" t="str">
        <f>PROPER(TRIM('raw data'!E705))</f>
        <v>None</v>
      </c>
      <c r="F705" s="8">
        <v>63</v>
      </c>
      <c r="G705" s="8">
        <v>64</v>
      </c>
      <c r="H705" s="8">
        <v>67</v>
      </c>
      <c r="I705">
        <f t="shared" si="30"/>
        <v>194</v>
      </c>
      <c r="J705">
        <f t="shared" si="31"/>
        <v>64.666666666666671</v>
      </c>
      <c r="K705" s="7" t="str">
        <f t="shared" si="32"/>
        <v>pass</v>
      </c>
    </row>
    <row r="706" spans="1:11" x14ac:dyDescent="0.25">
      <c r="A706" t="str">
        <f>PROPER(TRIM('raw data'!A706))</f>
        <v>Female</v>
      </c>
      <c r="B706" t="str">
        <f>PROPER(TRIM('raw data'!B706))</f>
        <v>Group B</v>
      </c>
      <c r="C706" s="7" t="str">
        <f>PROPER(TRIM('raw data'!C706))</f>
        <v>Some High School</v>
      </c>
      <c r="D706" s="7" t="str">
        <f>PROPER(TRIM('raw data'!D706))</f>
        <v>Free/Reduced</v>
      </c>
      <c r="E706" s="7" t="str">
        <f>PROPER(TRIM('raw data'!E706))</f>
        <v>Completed</v>
      </c>
      <c r="F706" s="8">
        <v>59</v>
      </c>
      <c r="G706" s="8">
        <v>63</v>
      </c>
      <c r="H706" s="8">
        <v>64</v>
      </c>
      <c r="I706">
        <f t="shared" si="30"/>
        <v>186</v>
      </c>
      <c r="J706">
        <f t="shared" si="31"/>
        <v>62</v>
      </c>
      <c r="K706" s="7" t="str">
        <f t="shared" si="32"/>
        <v>pass</v>
      </c>
    </row>
    <row r="707" spans="1:11" x14ac:dyDescent="0.25">
      <c r="A707" t="str">
        <f>PROPER(TRIM('raw data'!A707))</f>
        <v>Male</v>
      </c>
      <c r="B707" t="str">
        <f>PROPER(TRIM('raw data'!B707))</f>
        <v>Group A</v>
      </c>
      <c r="C707" s="7" t="str">
        <f>PROPER(TRIM('raw data'!C707))</f>
        <v>Bachelor'S Degree</v>
      </c>
      <c r="D707" s="7" t="str">
        <f>PROPER(TRIM('raw data'!D707))</f>
        <v>Free/Reduced</v>
      </c>
      <c r="E707" s="7" t="str">
        <f>PROPER(TRIM('raw data'!E707))</f>
        <v>None</v>
      </c>
      <c r="F707" s="8">
        <v>62</v>
      </c>
      <c r="G707" s="8">
        <v>72</v>
      </c>
      <c r="H707" s="8">
        <v>65</v>
      </c>
      <c r="I707">
        <f t="shared" ref="I707:I770" si="33">F707+G707+H707</f>
        <v>199</v>
      </c>
      <c r="J707">
        <f t="shared" ref="J707:J770" si="34">I707/3</f>
        <v>66.333333333333329</v>
      </c>
      <c r="K707" s="7" t="str">
        <f t="shared" ref="K707:K770" si="35">IF(J707&gt;=40,"pass","fail")</f>
        <v>pass</v>
      </c>
    </row>
    <row r="708" spans="1:11" x14ac:dyDescent="0.25">
      <c r="A708" t="str">
        <f>PROPER(TRIM('raw data'!A708))</f>
        <v>Male</v>
      </c>
      <c r="B708" t="str">
        <f>PROPER(TRIM('raw data'!B708))</f>
        <v>Group D</v>
      </c>
      <c r="C708" s="7" t="str">
        <f>PROPER(TRIM('raw data'!C708))</f>
        <v>High School</v>
      </c>
      <c r="D708" s="7" t="str">
        <f>PROPER(TRIM('raw data'!D708))</f>
        <v>Standard</v>
      </c>
      <c r="E708" s="7" t="str">
        <f>PROPER(TRIM('raw data'!E708))</f>
        <v>None</v>
      </c>
      <c r="F708" s="8">
        <v>46</v>
      </c>
      <c r="G708" s="8">
        <v>34</v>
      </c>
      <c r="H708" s="8">
        <v>36</v>
      </c>
      <c r="I708">
        <f t="shared" si="33"/>
        <v>116</v>
      </c>
      <c r="J708">
        <f t="shared" si="34"/>
        <v>38.666666666666664</v>
      </c>
      <c r="K708" s="7" t="str">
        <f t="shared" si="35"/>
        <v>fail</v>
      </c>
    </row>
    <row r="709" spans="1:11" x14ac:dyDescent="0.25">
      <c r="A709" t="str">
        <f>PROPER(TRIM('raw data'!A709))</f>
        <v>Male</v>
      </c>
      <c r="B709" t="str">
        <f>PROPER(TRIM('raw data'!B709))</f>
        <v>Group C</v>
      </c>
      <c r="C709" s="7" t="str">
        <f>PROPER(TRIM('raw data'!C709))</f>
        <v>Some College</v>
      </c>
      <c r="D709" s="7" t="str">
        <f>PROPER(TRIM('raw data'!D709))</f>
        <v>Standard</v>
      </c>
      <c r="E709" s="7" t="str">
        <f>PROPER(TRIM('raw data'!E709))</f>
        <v>None</v>
      </c>
      <c r="F709" s="8">
        <v>66</v>
      </c>
      <c r="G709" s="8">
        <v>59</v>
      </c>
      <c r="H709" s="8">
        <v>52</v>
      </c>
      <c r="I709">
        <f t="shared" si="33"/>
        <v>177</v>
      </c>
      <c r="J709">
        <f t="shared" si="34"/>
        <v>59</v>
      </c>
      <c r="K709" s="7" t="str">
        <f t="shared" si="35"/>
        <v>pass</v>
      </c>
    </row>
    <row r="710" spans="1:11" x14ac:dyDescent="0.25">
      <c r="A710" t="str">
        <f>PROPER(TRIM('raw data'!A710))</f>
        <v>Male</v>
      </c>
      <c r="B710" t="str">
        <f>PROPER(TRIM('raw data'!B710))</f>
        <v>Group D</v>
      </c>
      <c r="C710" s="7" t="str">
        <f>PROPER(TRIM('raw data'!C710))</f>
        <v>High School</v>
      </c>
      <c r="D710" s="7" t="str">
        <f>PROPER(TRIM('raw data'!D710))</f>
        <v>Standard</v>
      </c>
      <c r="E710" s="7" t="str">
        <f>PROPER(TRIM('raw data'!E710))</f>
        <v>None</v>
      </c>
      <c r="F710" s="8">
        <v>89</v>
      </c>
      <c r="G710" s="8">
        <v>87</v>
      </c>
      <c r="H710" s="8">
        <v>79</v>
      </c>
      <c r="I710">
        <f t="shared" si="33"/>
        <v>255</v>
      </c>
      <c r="J710">
        <f t="shared" si="34"/>
        <v>85</v>
      </c>
      <c r="K710" s="7" t="str">
        <f t="shared" si="35"/>
        <v>pass</v>
      </c>
    </row>
    <row r="711" spans="1:11" x14ac:dyDescent="0.25">
      <c r="A711" t="str">
        <f>PROPER(TRIM('raw data'!A711))</f>
        <v>Female</v>
      </c>
      <c r="B711" t="str">
        <f>PROPER(TRIM('raw data'!B711))</f>
        <v>Group D</v>
      </c>
      <c r="C711" s="7" t="str">
        <f>PROPER(TRIM('raw data'!C711))</f>
        <v>Associate'S Degree</v>
      </c>
      <c r="D711" s="7" t="str">
        <f>PROPER(TRIM('raw data'!D711))</f>
        <v>Free/Reduced</v>
      </c>
      <c r="E711" s="7" t="str">
        <f>PROPER(TRIM('raw data'!E711))</f>
        <v>Completed</v>
      </c>
      <c r="F711" s="8">
        <v>42</v>
      </c>
      <c r="G711" s="8">
        <v>61</v>
      </c>
      <c r="H711" s="8">
        <v>58</v>
      </c>
      <c r="I711">
        <f t="shared" si="33"/>
        <v>161</v>
      </c>
      <c r="J711">
        <f t="shared" si="34"/>
        <v>53.666666666666664</v>
      </c>
      <c r="K711" s="7" t="str">
        <f t="shared" si="35"/>
        <v>pass</v>
      </c>
    </row>
    <row r="712" spans="1:11" x14ac:dyDescent="0.25">
      <c r="A712" t="str">
        <f>PROPER(TRIM('raw data'!A712))</f>
        <v>Male</v>
      </c>
      <c r="B712" t="str">
        <f>PROPER(TRIM('raw data'!B712))</f>
        <v>Group C</v>
      </c>
      <c r="C712" s="7" t="str">
        <f>PROPER(TRIM('raw data'!C712))</f>
        <v>Some College</v>
      </c>
      <c r="D712" s="7" t="str">
        <f>PROPER(TRIM('raw data'!D712))</f>
        <v>Standard</v>
      </c>
      <c r="E712" s="7" t="str">
        <f>PROPER(TRIM('raw data'!E712))</f>
        <v>Completed</v>
      </c>
      <c r="F712" s="8">
        <v>93</v>
      </c>
      <c r="G712" s="8">
        <v>84</v>
      </c>
      <c r="H712" s="8">
        <v>90</v>
      </c>
      <c r="I712">
        <f t="shared" si="33"/>
        <v>267</v>
      </c>
      <c r="J712">
        <f t="shared" si="34"/>
        <v>89</v>
      </c>
      <c r="K712" s="7" t="str">
        <f t="shared" si="35"/>
        <v>pass</v>
      </c>
    </row>
    <row r="713" spans="1:11" x14ac:dyDescent="0.25">
      <c r="A713" t="str">
        <f>PROPER(TRIM('raw data'!A713))</f>
        <v>Female</v>
      </c>
      <c r="B713" t="str">
        <f>PROPER(TRIM('raw data'!B713))</f>
        <v>Group E</v>
      </c>
      <c r="C713" s="7" t="str">
        <f>PROPER(TRIM('raw data'!C713))</f>
        <v>Some High School</v>
      </c>
      <c r="D713" s="7" t="str">
        <f>PROPER(TRIM('raw data'!D713))</f>
        <v>Standard</v>
      </c>
      <c r="E713" s="7" t="str">
        <f>PROPER(TRIM('raw data'!E713))</f>
        <v>Completed</v>
      </c>
      <c r="F713" s="8">
        <v>80</v>
      </c>
      <c r="G713" s="8">
        <v>85</v>
      </c>
      <c r="H713" s="8">
        <v>85</v>
      </c>
      <c r="I713">
        <f t="shared" si="33"/>
        <v>250</v>
      </c>
      <c r="J713">
        <f t="shared" si="34"/>
        <v>83.333333333333329</v>
      </c>
      <c r="K713" s="7" t="str">
        <f t="shared" si="35"/>
        <v>pass</v>
      </c>
    </row>
    <row r="714" spans="1:11" x14ac:dyDescent="0.25">
      <c r="A714" t="str">
        <f>PROPER(TRIM('raw data'!A714))</f>
        <v>Female</v>
      </c>
      <c r="B714" t="str">
        <f>PROPER(TRIM('raw data'!B714))</f>
        <v>Group D</v>
      </c>
      <c r="C714" s="7" t="str">
        <f>PROPER(TRIM('raw data'!C714))</f>
        <v>Some College</v>
      </c>
      <c r="D714" s="7" t="str">
        <f>PROPER(TRIM('raw data'!D714))</f>
        <v>Standard</v>
      </c>
      <c r="E714" s="7" t="str">
        <f>PROPER(TRIM('raw data'!E714))</f>
        <v>None</v>
      </c>
      <c r="F714" s="8">
        <v>98</v>
      </c>
      <c r="G714" s="8">
        <v>100</v>
      </c>
      <c r="H714" s="8">
        <v>99</v>
      </c>
      <c r="I714">
        <f t="shared" si="33"/>
        <v>297</v>
      </c>
      <c r="J714">
        <f t="shared" si="34"/>
        <v>99</v>
      </c>
      <c r="K714" s="7" t="str">
        <f t="shared" si="35"/>
        <v>pass</v>
      </c>
    </row>
    <row r="715" spans="1:11" x14ac:dyDescent="0.25">
      <c r="A715" t="str">
        <f>PROPER(TRIM('raw data'!A715))</f>
        <v>Male</v>
      </c>
      <c r="B715" t="str">
        <f>PROPER(TRIM('raw data'!B715))</f>
        <v>Group D</v>
      </c>
      <c r="C715" s="7" t="str">
        <f>PROPER(TRIM('raw data'!C715))</f>
        <v>Master'S Degree</v>
      </c>
      <c r="D715" s="7" t="str">
        <f>PROPER(TRIM('raw data'!D715))</f>
        <v>Standard</v>
      </c>
      <c r="E715" s="7" t="str">
        <f>PROPER(TRIM('raw data'!E715))</f>
        <v>None</v>
      </c>
      <c r="F715" s="8">
        <v>81</v>
      </c>
      <c r="G715" s="8">
        <v>81</v>
      </c>
      <c r="H715" s="8">
        <v>84</v>
      </c>
      <c r="I715">
        <f t="shared" si="33"/>
        <v>246</v>
      </c>
      <c r="J715">
        <f t="shared" si="34"/>
        <v>82</v>
      </c>
      <c r="K715" s="7" t="str">
        <f t="shared" si="35"/>
        <v>pass</v>
      </c>
    </row>
    <row r="716" spans="1:11" x14ac:dyDescent="0.25">
      <c r="A716" t="str">
        <f>PROPER(TRIM('raw data'!A716))</f>
        <v>Female</v>
      </c>
      <c r="B716" t="str">
        <f>PROPER(TRIM('raw data'!B716))</f>
        <v>Group B</v>
      </c>
      <c r="C716" s="7" t="str">
        <f>PROPER(TRIM('raw data'!C716))</f>
        <v>Some High School</v>
      </c>
      <c r="D716" s="7" t="str">
        <f>PROPER(TRIM('raw data'!D716))</f>
        <v>Standard</v>
      </c>
      <c r="E716" s="7" t="str">
        <f>PROPER(TRIM('raw data'!E716))</f>
        <v>Completed</v>
      </c>
      <c r="F716" s="8">
        <v>60</v>
      </c>
      <c r="G716" s="8">
        <v>70</v>
      </c>
      <c r="H716" s="8">
        <v>74</v>
      </c>
      <c r="I716">
        <f t="shared" si="33"/>
        <v>204</v>
      </c>
      <c r="J716">
        <f t="shared" si="34"/>
        <v>68</v>
      </c>
      <c r="K716" s="7" t="str">
        <f t="shared" si="35"/>
        <v>pass</v>
      </c>
    </row>
    <row r="717" spans="1:11" x14ac:dyDescent="0.25">
      <c r="A717" t="str">
        <f>PROPER(TRIM('raw data'!A717))</f>
        <v>Female</v>
      </c>
      <c r="B717" t="str">
        <f>PROPER(TRIM('raw data'!B717))</f>
        <v>Group B</v>
      </c>
      <c r="C717" s="7" t="str">
        <f>PROPER(TRIM('raw data'!C717))</f>
        <v>Associate'S Degree</v>
      </c>
      <c r="D717" s="7" t="str">
        <f>PROPER(TRIM('raw data'!D717))</f>
        <v>Free/Reduced</v>
      </c>
      <c r="E717" s="7" t="str">
        <f>PROPER(TRIM('raw data'!E717))</f>
        <v>Completed</v>
      </c>
      <c r="F717" s="8">
        <v>76</v>
      </c>
      <c r="G717" s="8">
        <v>94</v>
      </c>
      <c r="H717" s="8">
        <v>87</v>
      </c>
      <c r="I717">
        <f t="shared" si="33"/>
        <v>257</v>
      </c>
      <c r="J717">
        <f t="shared" si="34"/>
        <v>85.666666666666671</v>
      </c>
      <c r="K717" s="7" t="str">
        <f t="shared" si="35"/>
        <v>pass</v>
      </c>
    </row>
    <row r="718" spans="1:11" x14ac:dyDescent="0.25">
      <c r="A718" t="str">
        <f>PROPER(TRIM('raw data'!A718))</f>
        <v>Male</v>
      </c>
      <c r="B718" t="str">
        <f>PROPER(TRIM('raw data'!B718))</f>
        <v>Group C</v>
      </c>
      <c r="C718" s="7" t="str">
        <f>PROPER(TRIM('raw data'!C718))</f>
        <v>Associate'S Degree</v>
      </c>
      <c r="D718" s="7" t="str">
        <f>PROPER(TRIM('raw data'!D718))</f>
        <v>Standard</v>
      </c>
      <c r="E718" s="7" t="str">
        <f>PROPER(TRIM('raw data'!E718))</f>
        <v>Completed</v>
      </c>
      <c r="F718" s="8">
        <v>73</v>
      </c>
      <c r="G718" s="8">
        <v>78</v>
      </c>
      <c r="H718" s="8">
        <v>72</v>
      </c>
      <c r="I718">
        <f t="shared" si="33"/>
        <v>223</v>
      </c>
      <c r="J718">
        <f t="shared" si="34"/>
        <v>74.333333333333329</v>
      </c>
      <c r="K718" s="7" t="str">
        <f t="shared" si="35"/>
        <v>pass</v>
      </c>
    </row>
    <row r="719" spans="1:11" x14ac:dyDescent="0.25">
      <c r="A719" t="str">
        <f>PROPER(TRIM('raw data'!A719))</f>
        <v>Female</v>
      </c>
      <c r="B719" t="str">
        <f>PROPER(TRIM('raw data'!B719))</f>
        <v>Group C</v>
      </c>
      <c r="C719" s="7" t="str">
        <f>PROPER(TRIM('raw data'!C719))</f>
        <v>Associate'S Degree</v>
      </c>
      <c r="D719" s="7" t="str">
        <f>PROPER(TRIM('raw data'!D719))</f>
        <v>Standard</v>
      </c>
      <c r="E719" s="7" t="str">
        <f>PROPER(TRIM('raw data'!E719))</f>
        <v>Completed</v>
      </c>
      <c r="F719" s="8">
        <v>96</v>
      </c>
      <c r="G719" s="8">
        <v>96</v>
      </c>
      <c r="H719" s="8">
        <v>99</v>
      </c>
      <c r="I719">
        <f t="shared" si="33"/>
        <v>291</v>
      </c>
      <c r="J719">
        <f t="shared" si="34"/>
        <v>97</v>
      </c>
      <c r="K719" s="7" t="str">
        <f t="shared" si="35"/>
        <v>pass</v>
      </c>
    </row>
    <row r="720" spans="1:11" x14ac:dyDescent="0.25">
      <c r="A720" t="str">
        <f>PROPER(TRIM('raw data'!A720))</f>
        <v>Female</v>
      </c>
      <c r="B720" t="str">
        <f>PROPER(TRIM('raw data'!B720))</f>
        <v>Group C</v>
      </c>
      <c r="C720" s="7" t="str">
        <f>PROPER(TRIM('raw data'!C720))</f>
        <v>High School</v>
      </c>
      <c r="D720" s="7" t="str">
        <f>PROPER(TRIM('raw data'!D720))</f>
        <v>Standard</v>
      </c>
      <c r="E720" s="7" t="str">
        <f>PROPER(TRIM('raw data'!E720))</f>
        <v>None</v>
      </c>
      <c r="F720" s="8">
        <v>76</v>
      </c>
      <c r="G720" s="8">
        <v>76</v>
      </c>
      <c r="H720" s="8">
        <v>74</v>
      </c>
      <c r="I720">
        <f t="shared" si="33"/>
        <v>226</v>
      </c>
      <c r="J720">
        <f t="shared" si="34"/>
        <v>75.333333333333329</v>
      </c>
      <c r="K720" s="7" t="str">
        <f t="shared" si="35"/>
        <v>pass</v>
      </c>
    </row>
    <row r="721" spans="1:11" x14ac:dyDescent="0.25">
      <c r="A721" t="str">
        <f>PROPER(TRIM('raw data'!A721))</f>
        <v>Male</v>
      </c>
      <c r="B721" t="str">
        <f>PROPER(TRIM('raw data'!B721))</f>
        <v>Group E</v>
      </c>
      <c r="C721" s="7" t="str">
        <f>PROPER(TRIM('raw data'!C721))</f>
        <v>Associate'S Degree</v>
      </c>
      <c r="D721" s="7" t="str">
        <f>PROPER(TRIM('raw data'!D721))</f>
        <v>Free/Reduced</v>
      </c>
      <c r="E721" s="7" t="str">
        <f>PROPER(TRIM('raw data'!E721))</f>
        <v>Completed</v>
      </c>
      <c r="F721" s="8">
        <v>91</v>
      </c>
      <c r="G721" s="8">
        <v>73</v>
      </c>
      <c r="H721" s="8">
        <v>80</v>
      </c>
      <c r="I721">
        <f t="shared" si="33"/>
        <v>244</v>
      </c>
      <c r="J721">
        <f t="shared" si="34"/>
        <v>81.333333333333329</v>
      </c>
      <c r="K721" s="7" t="str">
        <f t="shared" si="35"/>
        <v>pass</v>
      </c>
    </row>
    <row r="722" spans="1:11" x14ac:dyDescent="0.25">
      <c r="A722" t="str">
        <f>PROPER(TRIM('raw data'!A722))</f>
        <v>Female</v>
      </c>
      <c r="B722" t="str">
        <f>PROPER(TRIM('raw data'!B722))</f>
        <v>Group C</v>
      </c>
      <c r="C722" s="7" t="str">
        <f>PROPER(TRIM('raw data'!C722))</f>
        <v>Some College</v>
      </c>
      <c r="D722" s="7" t="str">
        <f>PROPER(TRIM('raw data'!D722))</f>
        <v>Free/Reduced</v>
      </c>
      <c r="E722" s="7" t="str">
        <f>PROPER(TRIM('raw data'!E722))</f>
        <v>None</v>
      </c>
      <c r="F722" s="8">
        <v>62</v>
      </c>
      <c r="G722" s="8">
        <v>72</v>
      </c>
      <c r="H722" s="8">
        <v>70</v>
      </c>
      <c r="I722">
        <f t="shared" si="33"/>
        <v>204</v>
      </c>
      <c r="J722">
        <f t="shared" si="34"/>
        <v>68</v>
      </c>
      <c r="K722" s="7" t="str">
        <f t="shared" si="35"/>
        <v>pass</v>
      </c>
    </row>
    <row r="723" spans="1:11" x14ac:dyDescent="0.25">
      <c r="A723" t="str">
        <f>PROPER(TRIM('raw data'!A723))</f>
        <v>Male</v>
      </c>
      <c r="B723" t="str">
        <f>PROPER(TRIM('raw data'!B723))</f>
        <v>Group D</v>
      </c>
      <c r="C723" s="7" t="str">
        <f>PROPER(TRIM('raw data'!C723))</f>
        <v>Some High School</v>
      </c>
      <c r="D723" s="7" t="str">
        <f>PROPER(TRIM('raw data'!D723))</f>
        <v>Free/Reduced</v>
      </c>
      <c r="E723" s="7" t="str">
        <f>PROPER(TRIM('raw data'!E723))</f>
        <v>Completed</v>
      </c>
      <c r="F723" s="8">
        <v>55</v>
      </c>
      <c r="G723" s="8">
        <v>59</v>
      </c>
      <c r="H723" s="8">
        <v>59</v>
      </c>
      <c r="I723">
        <f t="shared" si="33"/>
        <v>173</v>
      </c>
      <c r="J723">
        <f t="shared" si="34"/>
        <v>57.666666666666664</v>
      </c>
      <c r="K723" s="7" t="str">
        <f t="shared" si="35"/>
        <v>pass</v>
      </c>
    </row>
    <row r="724" spans="1:11" x14ac:dyDescent="0.25">
      <c r="A724" t="str">
        <f>PROPER(TRIM('raw data'!A724))</f>
        <v>Female</v>
      </c>
      <c r="B724" t="str">
        <f>PROPER(TRIM('raw data'!B724))</f>
        <v>Group B</v>
      </c>
      <c r="C724" s="7" t="str">
        <f>PROPER(TRIM('raw data'!C724))</f>
        <v>Some High School</v>
      </c>
      <c r="D724" s="7" t="str">
        <f>PROPER(TRIM('raw data'!D724))</f>
        <v>Free/Reduced</v>
      </c>
      <c r="E724" s="7" t="str">
        <f>PROPER(TRIM('raw data'!E724))</f>
        <v>Completed</v>
      </c>
      <c r="F724" s="8">
        <v>74</v>
      </c>
      <c r="G724" s="8">
        <v>90</v>
      </c>
      <c r="H724" s="8">
        <v>88</v>
      </c>
      <c r="I724">
        <f t="shared" si="33"/>
        <v>252</v>
      </c>
      <c r="J724">
        <f t="shared" si="34"/>
        <v>84</v>
      </c>
      <c r="K724" s="7" t="str">
        <f t="shared" si="35"/>
        <v>pass</v>
      </c>
    </row>
    <row r="725" spans="1:11" x14ac:dyDescent="0.25">
      <c r="A725" t="str">
        <f>PROPER(TRIM('raw data'!A725))</f>
        <v>Male</v>
      </c>
      <c r="B725" t="str">
        <f>PROPER(TRIM('raw data'!B725))</f>
        <v>Group C</v>
      </c>
      <c r="C725" s="7" t="str">
        <f>PROPER(TRIM('raw data'!C725))</f>
        <v>High School</v>
      </c>
      <c r="D725" s="7" t="str">
        <f>PROPER(TRIM('raw data'!D725))</f>
        <v>Standard</v>
      </c>
      <c r="E725" s="7" t="str">
        <f>PROPER(TRIM('raw data'!E725))</f>
        <v>None</v>
      </c>
      <c r="F725" s="8">
        <v>50</v>
      </c>
      <c r="G725" s="8">
        <v>48</v>
      </c>
      <c r="H725" s="8">
        <v>42</v>
      </c>
      <c r="I725">
        <f t="shared" si="33"/>
        <v>140</v>
      </c>
      <c r="J725">
        <f t="shared" si="34"/>
        <v>46.666666666666664</v>
      </c>
      <c r="K725" s="7" t="str">
        <f t="shared" si="35"/>
        <v>pass</v>
      </c>
    </row>
    <row r="726" spans="1:11" x14ac:dyDescent="0.25">
      <c r="A726" t="str">
        <f>PROPER(TRIM('raw data'!A726))</f>
        <v>Male</v>
      </c>
      <c r="B726" t="str">
        <f>PROPER(TRIM('raw data'!B726))</f>
        <v>Group B</v>
      </c>
      <c r="C726" s="7" t="str">
        <f>PROPER(TRIM('raw data'!C726))</f>
        <v>Some College</v>
      </c>
      <c r="D726" s="7" t="str">
        <f>PROPER(TRIM('raw data'!D726))</f>
        <v>Standard</v>
      </c>
      <c r="E726" s="7" t="str">
        <f>PROPER(TRIM('raw data'!E726))</f>
        <v>None</v>
      </c>
      <c r="F726" s="8">
        <v>47</v>
      </c>
      <c r="G726" s="8">
        <v>43</v>
      </c>
      <c r="H726" s="8">
        <v>41</v>
      </c>
      <c r="I726">
        <f t="shared" si="33"/>
        <v>131</v>
      </c>
      <c r="J726">
        <f t="shared" si="34"/>
        <v>43.666666666666664</v>
      </c>
      <c r="K726" s="7" t="str">
        <f t="shared" si="35"/>
        <v>pass</v>
      </c>
    </row>
    <row r="727" spans="1:11" x14ac:dyDescent="0.25">
      <c r="A727" t="str">
        <f>PROPER(TRIM('raw data'!A727))</f>
        <v>Male</v>
      </c>
      <c r="B727" t="str">
        <f>PROPER(TRIM('raw data'!B727))</f>
        <v>Group E</v>
      </c>
      <c r="C727" s="7" t="str">
        <f>PROPER(TRIM('raw data'!C727))</f>
        <v>Some College</v>
      </c>
      <c r="D727" s="7" t="str">
        <f>PROPER(TRIM('raw data'!D727))</f>
        <v>Standard</v>
      </c>
      <c r="E727" s="7" t="str">
        <f>PROPER(TRIM('raw data'!E727))</f>
        <v>Completed</v>
      </c>
      <c r="F727" s="8">
        <v>81</v>
      </c>
      <c r="G727" s="8">
        <v>74</v>
      </c>
      <c r="H727" s="8">
        <v>71</v>
      </c>
      <c r="I727">
        <f t="shared" si="33"/>
        <v>226</v>
      </c>
      <c r="J727">
        <f t="shared" si="34"/>
        <v>75.333333333333329</v>
      </c>
      <c r="K727" s="7" t="str">
        <f t="shared" si="35"/>
        <v>pass</v>
      </c>
    </row>
    <row r="728" spans="1:11" x14ac:dyDescent="0.25">
      <c r="A728" t="str">
        <f>PROPER(TRIM('raw data'!A728))</f>
        <v>Female</v>
      </c>
      <c r="B728" t="str">
        <f>PROPER(TRIM('raw data'!B728))</f>
        <v>Group E</v>
      </c>
      <c r="C728" s="7" t="str">
        <f>PROPER(TRIM('raw data'!C728))</f>
        <v>Associate'S Degree</v>
      </c>
      <c r="D728" s="7" t="str">
        <f>PROPER(TRIM('raw data'!D728))</f>
        <v>Standard</v>
      </c>
      <c r="E728" s="7" t="str">
        <f>PROPER(TRIM('raw data'!E728))</f>
        <v>Completed</v>
      </c>
      <c r="F728" s="8">
        <v>65</v>
      </c>
      <c r="G728" s="8">
        <v>75</v>
      </c>
      <c r="H728" s="8">
        <v>77</v>
      </c>
      <c r="I728">
        <f t="shared" si="33"/>
        <v>217</v>
      </c>
      <c r="J728">
        <f t="shared" si="34"/>
        <v>72.333333333333329</v>
      </c>
      <c r="K728" s="7" t="str">
        <f t="shared" si="35"/>
        <v>pass</v>
      </c>
    </row>
    <row r="729" spans="1:11" x14ac:dyDescent="0.25">
      <c r="A729" t="str">
        <f>PROPER(TRIM('raw data'!A729))</f>
        <v>Male</v>
      </c>
      <c r="B729" t="str">
        <f>PROPER(TRIM('raw data'!B729))</f>
        <v>Group E</v>
      </c>
      <c r="C729" s="7" t="str">
        <f>PROPER(TRIM('raw data'!C729))</f>
        <v>Some High School</v>
      </c>
      <c r="D729" s="7" t="str">
        <f>PROPER(TRIM('raw data'!D729))</f>
        <v>Standard</v>
      </c>
      <c r="E729" s="7" t="str">
        <f>PROPER(TRIM('raw data'!E729))</f>
        <v>Completed</v>
      </c>
      <c r="F729" s="8">
        <v>68</v>
      </c>
      <c r="G729" s="8">
        <v>51</v>
      </c>
      <c r="H729" s="8">
        <v>57</v>
      </c>
      <c r="I729">
        <f t="shared" si="33"/>
        <v>176</v>
      </c>
      <c r="J729">
        <f t="shared" si="34"/>
        <v>58.666666666666664</v>
      </c>
      <c r="K729" s="7" t="str">
        <f t="shared" si="35"/>
        <v>pass</v>
      </c>
    </row>
    <row r="730" spans="1:11" x14ac:dyDescent="0.25">
      <c r="A730" t="str">
        <f>PROPER(TRIM('raw data'!A730))</f>
        <v>Female</v>
      </c>
      <c r="B730" t="str">
        <f>PROPER(TRIM('raw data'!B730))</f>
        <v>Group D</v>
      </c>
      <c r="C730" s="7" t="str">
        <f>PROPER(TRIM('raw data'!C730))</f>
        <v>High School</v>
      </c>
      <c r="D730" s="7" t="str">
        <f>PROPER(TRIM('raw data'!D730))</f>
        <v>Free/Reduced</v>
      </c>
      <c r="E730" s="7" t="str">
        <f>PROPER(TRIM('raw data'!E730))</f>
        <v>None</v>
      </c>
      <c r="F730" s="8">
        <v>73</v>
      </c>
      <c r="G730" s="8">
        <v>92</v>
      </c>
      <c r="H730" s="8">
        <v>84</v>
      </c>
      <c r="I730">
        <f t="shared" si="33"/>
        <v>249</v>
      </c>
      <c r="J730">
        <f t="shared" si="34"/>
        <v>83</v>
      </c>
      <c r="K730" s="7" t="str">
        <f t="shared" si="35"/>
        <v>pass</v>
      </c>
    </row>
    <row r="731" spans="1:11" x14ac:dyDescent="0.25">
      <c r="A731" t="str">
        <f>PROPER(TRIM('raw data'!A731))</f>
        <v>Male</v>
      </c>
      <c r="B731" t="str">
        <f>PROPER(TRIM('raw data'!B731))</f>
        <v>Group C</v>
      </c>
      <c r="C731" s="7" t="str">
        <f>PROPER(TRIM('raw data'!C731))</f>
        <v>Some College</v>
      </c>
      <c r="D731" s="7" t="str">
        <f>PROPER(TRIM('raw data'!D731))</f>
        <v>Standard</v>
      </c>
      <c r="E731" s="7" t="str">
        <f>PROPER(TRIM('raw data'!E731))</f>
        <v>None</v>
      </c>
      <c r="F731" s="8">
        <v>53</v>
      </c>
      <c r="G731" s="8">
        <v>39</v>
      </c>
      <c r="H731" s="8">
        <v>37</v>
      </c>
      <c r="I731">
        <f t="shared" si="33"/>
        <v>129</v>
      </c>
      <c r="J731">
        <f t="shared" si="34"/>
        <v>43</v>
      </c>
      <c r="K731" s="7" t="str">
        <f t="shared" si="35"/>
        <v>pass</v>
      </c>
    </row>
    <row r="732" spans="1:11" x14ac:dyDescent="0.25">
      <c r="A732" t="str">
        <f>PROPER(TRIM('raw data'!A732))</f>
        <v>Female</v>
      </c>
      <c r="B732" t="str">
        <f>PROPER(TRIM('raw data'!B732))</f>
        <v>Group B</v>
      </c>
      <c r="C732" s="7" t="str">
        <f>PROPER(TRIM('raw data'!C732))</f>
        <v>Associate'S Degree</v>
      </c>
      <c r="D732" s="7" t="str">
        <f>PROPER(TRIM('raw data'!D732))</f>
        <v>Free/Reduced</v>
      </c>
      <c r="E732" s="7" t="str">
        <f>PROPER(TRIM('raw data'!E732))</f>
        <v>Completed</v>
      </c>
      <c r="F732" s="8">
        <v>68</v>
      </c>
      <c r="G732" s="8">
        <v>77</v>
      </c>
      <c r="H732" s="8">
        <v>80</v>
      </c>
      <c r="I732">
        <f t="shared" si="33"/>
        <v>225</v>
      </c>
      <c r="J732">
        <f t="shared" si="34"/>
        <v>75</v>
      </c>
      <c r="K732" s="7" t="str">
        <f t="shared" si="35"/>
        <v>pass</v>
      </c>
    </row>
    <row r="733" spans="1:11" x14ac:dyDescent="0.25">
      <c r="A733" t="str">
        <f>PROPER(TRIM('raw data'!A733))</f>
        <v>Male</v>
      </c>
      <c r="B733" t="str">
        <f>PROPER(TRIM('raw data'!B733))</f>
        <v>Group A</v>
      </c>
      <c r="C733" s="7" t="str">
        <f>PROPER(TRIM('raw data'!C733))</f>
        <v>Some High School</v>
      </c>
      <c r="D733" s="7" t="str">
        <f>PROPER(TRIM('raw data'!D733))</f>
        <v>Free/Reduced</v>
      </c>
      <c r="E733" s="7" t="str">
        <f>PROPER(TRIM('raw data'!E733))</f>
        <v>None</v>
      </c>
      <c r="F733" s="8">
        <v>55</v>
      </c>
      <c r="G733" s="8">
        <v>46</v>
      </c>
      <c r="H733" s="8">
        <v>43</v>
      </c>
      <c r="I733">
        <f t="shared" si="33"/>
        <v>144</v>
      </c>
      <c r="J733">
        <f t="shared" si="34"/>
        <v>48</v>
      </c>
      <c r="K733" s="7" t="str">
        <f t="shared" si="35"/>
        <v>pass</v>
      </c>
    </row>
    <row r="734" spans="1:11" x14ac:dyDescent="0.25">
      <c r="A734" t="str">
        <f>PROPER(TRIM('raw data'!A734))</f>
        <v>Female</v>
      </c>
      <c r="B734" t="str">
        <f>PROPER(TRIM('raw data'!B734))</f>
        <v>Group C</v>
      </c>
      <c r="C734" s="7" t="str">
        <f>PROPER(TRIM('raw data'!C734))</f>
        <v>Some College</v>
      </c>
      <c r="D734" s="7" t="str">
        <f>PROPER(TRIM('raw data'!D734))</f>
        <v>Standard</v>
      </c>
      <c r="E734" s="7" t="str">
        <f>PROPER(TRIM('raw data'!E734))</f>
        <v>Completed</v>
      </c>
      <c r="F734" s="8">
        <v>87</v>
      </c>
      <c r="G734" s="8">
        <v>89</v>
      </c>
      <c r="H734" s="8">
        <v>94</v>
      </c>
      <c r="I734">
        <f t="shared" si="33"/>
        <v>270</v>
      </c>
      <c r="J734">
        <f t="shared" si="34"/>
        <v>90</v>
      </c>
      <c r="K734" s="7" t="str">
        <f t="shared" si="35"/>
        <v>pass</v>
      </c>
    </row>
    <row r="735" spans="1:11" x14ac:dyDescent="0.25">
      <c r="A735" t="str">
        <f>PROPER(TRIM('raw data'!A735))</f>
        <v>Male</v>
      </c>
      <c r="B735" t="str">
        <f>PROPER(TRIM('raw data'!B735))</f>
        <v>Group D</v>
      </c>
      <c r="C735" s="7" t="str">
        <f>PROPER(TRIM('raw data'!C735))</f>
        <v>Some High School</v>
      </c>
      <c r="D735" s="7" t="str">
        <f>PROPER(TRIM('raw data'!D735))</f>
        <v>Standard</v>
      </c>
      <c r="E735" s="7" t="str">
        <f>PROPER(TRIM('raw data'!E735))</f>
        <v>None</v>
      </c>
      <c r="F735" s="8">
        <v>55</v>
      </c>
      <c r="G735" s="8">
        <v>47</v>
      </c>
      <c r="H735" s="8">
        <v>44</v>
      </c>
      <c r="I735">
        <f t="shared" si="33"/>
        <v>146</v>
      </c>
      <c r="J735">
        <f t="shared" si="34"/>
        <v>48.666666666666664</v>
      </c>
      <c r="K735" s="7" t="str">
        <f t="shared" si="35"/>
        <v>pass</v>
      </c>
    </row>
    <row r="736" spans="1:11" x14ac:dyDescent="0.25">
      <c r="A736" t="str">
        <f>PROPER(TRIM('raw data'!A736))</f>
        <v>Female</v>
      </c>
      <c r="B736" t="str">
        <f>PROPER(TRIM('raw data'!B736))</f>
        <v>Group E</v>
      </c>
      <c r="C736" s="7" t="str">
        <f>PROPER(TRIM('raw data'!C736))</f>
        <v>Some College</v>
      </c>
      <c r="D736" s="7" t="str">
        <f>PROPER(TRIM('raw data'!D736))</f>
        <v>Free/Reduced</v>
      </c>
      <c r="E736" s="7" t="str">
        <f>PROPER(TRIM('raw data'!E736))</f>
        <v>None</v>
      </c>
      <c r="F736" s="8">
        <v>53</v>
      </c>
      <c r="G736" s="8">
        <v>58</v>
      </c>
      <c r="H736" s="8">
        <v>57</v>
      </c>
      <c r="I736">
        <f t="shared" si="33"/>
        <v>168</v>
      </c>
      <c r="J736">
        <f t="shared" si="34"/>
        <v>56</v>
      </c>
      <c r="K736" s="7" t="str">
        <f t="shared" si="35"/>
        <v>pass</v>
      </c>
    </row>
    <row r="737" spans="1:11" x14ac:dyDescent="0.25">
      <c r="A737" t="str">
        <f>PROPER(TRIM('raw data'!A737))</f>
        <v>Male</v>
      </c>
      <c r="B737" t="str">
        <f>PROPER(TRIM('raw data'!B737))</f>
        <v>Group C</v>
      </c>
      <c r="C737" s="7" t="str">
        <f>PROPER(TRIM('raw data'!C737))</f>
        <v>Master'S Degree</v>
      </c>
      <c r="D737" s="7" t="str">
        <f>PROPER(TRIM('raw data'!D737))</f>
        <v>Standard</v>
      </c>
      <c r="E737" s="7" t="str">
        <f>PROPER(TRIM('raw data'!E737))</f>
        <v>None</v>
      </c>
      <c r="F737" s="8">
        <v>67</v>
      </c>
      <c r="G737" s="8">
        <v>57</v>
      </c>
      <c r="H737" s="8">
        <v>59</v>
      </c>
      <c r="I737">
        <f t="shared" si="33"/>
        <v>183</v>
      </c>
      <c r="J737">
        <f t="shared" si="34"/>
        <v>61</v>
      </c>
      <c r="K737" s="7" t="str">
        <f t="shared" si="35"/>
        <v>pass</v>
      </c>
    </row>
    <row r="738" spans="1:11" x14ac:dyDescent="0.25">
      <c r="A738" t="str">
        <f>PROPER(TRIM('raw data'!A738))</f>
        <v>Male</v>
      </c>
      <c r="B738" t="str">
        <f>PROPER(TRIM('raw data'!B738))</f>
        <v>Group C</v>
      </c>
      <c r="C738" s="7" t="str">
        <f>PROPER(TRIM('raw data'!C738))</f>
        <v>Associate'S Degree</v>
      </c>
      <c r="D738" s="7" t="str">
        <f>PROPER(TRIM('raw data'!D738))</f>
        <v>Standard</v>
      </c>
      <c r="E738" s="7" t="str">
        <f>PROPER(TRIM('raw data'!E738))</f>
        <v>None</v>
      </c>
      <c r="F738" s="8">
        <v>92</v>
      </c>
      <c r="G738" s="8">
        <v>79</v>
      </c>
      <c r="H738" s="8">
        <v>84</v>
      </c>
      <c r="I738">
        <f t="shared" si="33"/>
        <v>255</v>
      </c>
      <c r="J738">
        <f t="shared" si="34"/>
        <v>85</v>
      </c>
      <c r="K738" s="7" t="str">
        <f t="shared" si="35"/>
        <v>pass</v>
      </c>
    </row>
    <row r="739" spans="1:11" x14ac:dyDescent="0.25">
      <c r="A739" t="str">
        <f>PROPER(TRIM('raw data'!A739))</f>
        <v>Female</v>
      </c>
      <c r="B739" t="str">
        <f>PROPER(TRIM('raw data'!B739))</f>
        <v>Group B</v>
      </c>
      <c r="C739" s="7" t="str">
        <f>PROPER(TRIM('raw data'!C739))</f>
        <v>Some College</v>
      </c>
      <c r="D739" s="7" t="str">
        <f>PROPER(TRIM('raw data'!D739))</f>
        <v>Free/Reduced</v>
      </c>
      <c r="E739" s="7" t="str">
        <f>PROPER(TRIM('raw data'!E739))</f>
        <v>Completed</v>
      </c>
      <c r="F739" s="8">
        <v>53</v>
      </c>
      <c r="G739" s="8">
        <v>66</v>
      </c>
      <c r="H739" s="8">
        <v>73</v>
      </c>
      <c r="I739">
        <f t="shared" si="33"/>
        <v>192</v>
      </c>
      <c r="J739">
        <f t="shared" si="34"/>
        <v>64</v>
      </c>
      <c r="K739" s="7" t="str">
        <f t="shared" si="35"/>
        <v>pass</v>
      </c>
    </row>
    <row r="740" spans="1:11" x14ac:dyDescent="0.25">
      <c r="A740" t="str">
        <f>PROPER(TRIM('raw data'!A740))</f>
        <v>Male</v>
      </c>
      <c r="B740" t="str">
        <f>PROPER(TRIM('raw data'!B740))</f>
        <v>Group D</v>
      </c>
      <c r="C740" s="7" t="str">
        <f>PROPER(TRIM('raw data'!C740))</f>
        <v>Associate'S Degree</v>
      </c>
      <c r="D740" s="7" t="str">
        <f>PROPER(TRIM('raw data'!D740))</f>
        <v>Standard</v>
      </c>
      <c r="E740" s="7" t="str">
        <f>PROPER(TRIM('raw data'!E740))</f>
        <v>None</v>
      </c>
      <c r="F740" s="8">
        <v>81</v>
      </c>
      <c r="G740" s="8">
        <v>71</v>
      </c>
      <c r="H740" s="8">
        <v>73</v>
      </c>
      <c r="I740">
        <f t="shared" si="33"/>
        <v>225</v>
      </c>
      <c r="J740">
        <f t="shared" si="34"/>
        <v>75</v>
      </c>
      <c r="K740" s="7" t="str">
        <f t="shared" si="35"/>
        <v>pass</v>
      </c>
    </row>
    <row r="741" spans="1:11" x14ac:dyDescent="0.25">
      <c r="A741" t="str">
        <f>PROPER(TRIM('raw data'!A741))</f>
        <v>Male</v>
      </c>
      <c r="B741" t="str">
        <f>PROPER(TRIM('raw data'!B741))</f>
        <v>Group C</v>
      </c>
      <c r="C741" s="7" t="str">
        <f>PROPER(TRIM('raw data'!C741))</f>
        <v>High School</v>
      </c>
      <c r="D741" s="7" t="str">
        <f>PROPER(TRIM('raw data'!D741))</f>
        <v>Free/Reduced</v>
      </c>
      <c r="E741" s="7" t="str">
        <f>PROPER(TRIM('raw data'!E741))</f>
        <v>None</v>
      </c>
      <c r="F741" s="8">
        <v>61</v>
      </c>
      <c r="G741" s="8">
        <v>60</v>
      </c>
      <c r="H741" s="8">
        <v>55</v>
      </c>
      <c r="I741">
        <f t="shared" si="33"/>
        <v>176</v>
      </c>
      <c r="J741">
        <f t="shared" si="34"/>
        <v>58.666666666666664</v>
      </c>
      <c r="K741" s="7" t="str">
        <f t="shared" si="35"/>
        <v>pass</v>
      </c>
    </row>
    <row r="742" spans="1:11" x14ac:dyDescent="0.25">
      <c r="A742" t="str">
        <f>PROPER(TRIM('raw data'!A742))</f>
        <v>Male</v>
      </c>
      <c r="B742" t="str">
        <f>PROPER(TRIM('raw data'!B742))</f>
        <v>Group D</v>
      </c>
      <c r="C742" s="7" t="str">
        <f>PROPER(TRIM('raw data'!C742))</f>
        <v>Bachelor'S Degree</v>
      </c>
      <c r="D742" s="7" t="str">
        <f>PROPER(TRIM('raw data'!D742))</f>
        <v>Standard</v>
      </c>
      <c r="E742" s="7" t="str">
        <f>PROPER(TRIM('raw data'!E742))</f>
        <v>None</v>
      </c>
      <c r="F742" s="8">
        <v>80</v>
      </c>
      <c r="G742" s="8">
        <v>73</v>
      </c>
      <c r="H742" s="8">
        <v>72</v>
      </c>
      <c r="I742">
        <f t="shared" si="33"/>
        <v>225</v>
      </c>
      <c r="J742">
        <f t="shared" si="34"/>
        <v>75</v>
      </c>
      <c r="K742" s="7" t="str">
        <f t="shared" si="35"/>
        <v>pass</v>
      </c>
    </row>
    <row r="743" spans="1:11" x14ac:dyDescent="0.25">
      <c r="A743" t="str">
        <f>PROPER(TRIM('raw data'!A743))</f>
        <v>Female</v>
      </c>
      <c r="B743" t="str">
        <f>PROPER(TRIM('raw data'!B743))</f>
        <v>Group A</v>
      </c>
      <c r="C743" s="7" t="str">
        <f>PROPER(TRIM('raw data'!C743))</f>
        <v>Associate'S Degree</v>
      </c>
      <c r="D743" s="7" t="str">
        <f>PROPER(TRIM('raw data'!D743))</f>
        <v>Free/Reduced</v>
      </c>
      <c r="E743" s="7" t="str">
        <f>PROPER(TRIM('raw data'!E743))</f>
        <v>None</v>
      </c>
      <c r="F743" s="8">
        <v>37</v>
      </c>
      <c r="G743" s="8">
        <v>57</v>
      </c>
      <c r="H743" s="8">
        <v>56</v>
      </c>
      <c r="I743">
        <f t="shared" si="33"/>
        <v>150</v>
      </c>
      <c r="J743">
        <f t="shared" si="34"/>
        <v>50</v>
      </c>
      <c r="K743" s="7" t="str">
        <f t="shared" si="35"/>
        <v>pass</v>
      </c>
    </row>
    <row r="744" spans="1:11" x14ac:dyDescent="0.25">
      <c r="A744" t="str">
        <f>PROPER(TRIM('raw data'!A744))</f>
        <v>Female</v>
      </c>
      <c r="B744" t="str">
        <f>PROPER(TRIM('raw data'!B744))</f>
        <v>Group C</v>
      </c>
      <c r="C744" s="7" t="str">
        <f>PROPER(TRIM('raw data'!C744))</f>
        <v>High School</v>
      </c>
      <c r="D744" s="7" t="str">
        <f>PROPER(TRIM('raw data'!D744))</f>
        <v>Standard</v>
      </c>
      <c r="E744" s="7" t="str">
        <f>PROPER(TRIM('raw data'!E744))</f>
        <v>None</v>
      </c>
      <c r="F744" s="8">
        <v>81</v>
      </c>
      <c r="G744" s="8">
        <v>84</v>
      </c>
      <c r="H744" s="8">
        <v>82</v>
      </c>
      <c r="I744">
        <f t="shared" si="33"/>
        <v>247</v>
      </c>
      <c r="J744">
        <f t="shared" si="34"/>
        <v>82.333333333333329</v>
      </c>
      <c r="K744" s="7" t="str">
        <f t="shared" si="35"/>
        <v>pass</v>
      </c>
    </row>
    <row r="745" spans="1:11" x14ac:dyDescent="0.25">
      <c r="A745" t="str">
        <f>PROPER(TRIM('raw data'!A745))</f>
        <v>Female</v>
      </c>
      <c r="B745" t="str">
        <f>PROPER(TRIM('raw data'!B745))</f>
        <v>Group C</v>
      </c>
      <c r="C745" s="7" t="str">
        <f>PROPER(TRIM('raw data'!C745))</f>
        <v>Associate'S Degree</v>
      </c>
      <c r="D745" s="7" t="str">
        <f>PROPER(TRIM('raw data'!D745))</f>
        <v>Standard</v>
      </c>
      <c r="E745" s="7" t="str">
        <f>PROPER(TRIM('raw data'!E745))</f>
        <v>Completed</v>
      </c>
      <c r="F745" s="8">
        <v>59</v>
      </c>
      <c r="G745" s="8">
        <v>73</v>
      </c>
      <c r="H745" s="8">
        <v>72</v>
      </c>
      <c r="I745">
        <f t="shared" si="33"/>
        <v>204</v>
      </c>
      <c r="J745">
        <f t="shared" si="34"/>
        <v>68</v>
      </c>
      <c r="K745" s="7" t="str">
        <f t="shared" si="35"/>
        <v>pass</v>
      </c>
    </row>
    <row r="746" spans="1:11" x14ac:dyDescent="0.25">
      <c r="A746" t="str">
        <f>PROPER(TRIM('raw data'!A746))</f>
        <v>Male</v>
      </c>
      <c r="B746" t="str">
        <f>PROPER(TRIM('raw data'!B746))</f>
        <v>Group B</v>
      </c>
      <c r="C746" s="7" t="str">
        <f>PROPER(TRIM('raw data'!C746))</f>
        <v>Some College</v>
      </c>
      <c r="D746" s="7" t="str">
        <f>PROPER(TRIM('raw data'!D746))</f>
        <v>Free/Reduced</v>
      </c>
      <c r="E746" s="7" t="str">
        <f>PROPER(TRIM('raw data'!E746))</f>
        <v>None</v>
      </c>
      <c r="F746" s="8">
        <v>55</v>
      </c>
      <c r="G746" s="8">
        <v>55</v>
      </c>
      <c r="H746" s="8">
        <v>47</v>
      </c>
      <c r="I746">
        <f t="shared" si="33"/>
        <v>157</v>
      </c>
      <c r="J746">
        <f t="shared" si="34"/>
        <v>52.333333333333336</v>
      </c>
      <c r="K746" s="7" t="str">
        <f t="shared" si="35"/>
        <v>pass</v>
      </c>
    </row>
    <row r="747" spans="1:11" x14ac:dyDescent="0.25">
      <c r="A747" t="str">
        <f>PROPER(TRIM('raw data'!A747))</f>
        <v>Male</v>
      </c>
      <c r="B747" t="str">
        <f>PROPER(TRIM('raw data'!B747))</f>
        <v>Group D</v>
      </c>
      <c r="C747" s="7" t="str">
        <f>PROPER(TRIM('raw data'!C747))</f>
        <v>Associate'S Degree</v>
      </c>
      <c r="D747" s="7" t="str">
        <f>PROPER(TRIM('raw data'!D747))</f>
        <v>Standard</v>
      </c>
      <c r="E747" s="7" t="str">
        <f>PROPER(TRIM('raw data'!E747))</f>
        <v>None</v>
      </c>
      <c r="F747" s="8">
        <v>72</v>
      </c>
      <c r="G747" s="8">
        <v>79</v>
      </c>
      <c r="H747" s="8">
        <v>74</v>
      </c>
      <c r="I747">
        <f t="shared" si="33"/>
        <v>225</v>
      </c>
      <c r="J747">
        <f t="shared" si="34"/>
        <v>75</v>
      </c>
      <c r="K747" s="7" t="str">
        <f t="shared" si="35"/>
        <v>pass</v>
      </c>
    </row>
    <row r="748" spans="1:11" x14ac:dyDescent="0.25">
      <c r="A748" t="str">
        <f>PROPER(TRIM('raw data'!A748))</f>
        <v>Male</v>
      </c>
      <c r="B748" t="str">
        <f>PROPER(TRIM('raw data'!B748))</f>
        <v>Group D</v>
      </c>
      <c r="C748" s="7" t="str">
        <f>PROPER(TRIM('raw data'!C748))</f>
        <v>High School</v>
      </c>
      <c r="D748" s="7" t="str">
        <f>PROPER(TRIM('raw data'!D748))</f>
        <v>Standard</v>
      </c>
      <c r="E748" s="7" t="str">
        <f>PROPER(TRIM('raw data'!E748))</f>
        <v>None</v>
      </c>
      <c r="F748" s="8">
        <v>69</v>
      </c>
      <c r="G748" s="8">
        <v>75</v>
      </c>
      <c r="H748" s="8">
        <v>71</v>
      </c>
      <c r="I748">
        <f t="shared" si="33"/>
        <v>215</v>
      </c>
      <c r="J748">
        <f t="shared" si="34"/>
        <v>71.666666666666671</v>
      </c>
      <c r="K748" s="7" t="str">
        <f t="shared" si="35"/>
        <v>pass</v>
      </c>
    </row>
    <row r="749" spans="1:11" x14ac:dyDescent="0.25">
      <c r="A749" t="str">
        <f>PROPER(TRIM('raw data'!A749))</f>
        <v>Male</v>
      </c>
      <c r="B749" t="str">
        <f>PROPER(TRIM('raw data'!B749))</f>
        <v>Group C</v>
      </c>
      <c r="C749" s="7" t="str">
        <f>PROPER(TRIM('raw data'!C749))</f>
        <v>Some College</v>
      </c>
      <c r="D749" s="7" t="str">
        <f>PROPER(TRIM('raw data'!D749))</f>
        <v>Standard</v>
      </c>
      <c r="E749" s="7" t="str">
        <f>PROPER(TRIM('raw data'!E749))</f>
        <v>None</v>
      </c>
      <c r="F749" s="8">
        <v>69</v>
      </c>
      <c r="G749" s="8">
        <v>64</v>
      </c>
      <c r="H749" s="8">
        <v>68</v>
      </c>
      <c r="I749">
        <f t="shared" si="33"/>
        <v>201</v>
      </c>
      <c r="J749">
        <f t="shared" si="34"/>
        <v>67</v>
      </c>
      <c r="K749" s="7" t="str">
        <f t="shared" si="35"/>
        <v>pass</v>
      </c>
    </row>
    <row r="750" spans="1:11" x14ac:dyDescent="0.25">
      <c r="A750" t="str">
        <f>PROPER(TRIM('raw data'!A750))</f>
        <v>Female</v>
      </c>
      <c r="B750" t="str">
        <f>PROPER(TRIM('raw data'!B750))</f>
        <v>Group C</v>
      </c>
      <c r="C750" s="7" t="str">
        <f>PROPER(TRIM('raw data'!C750))</f>
        <v>Bachelor'S Degree</v>
      </c>
      <c r="D750" s="7" t="str">
        <f>PROPER(TRIM('raw data'!D750))</f>
        <v>Free/Reduced</v>
      </c>
      <c r="E750" s="7" t="str">
        <f>PROPER(TRIM('raw data'!E750))</f>
        <v>None</v>
      </c>
      <c r="F750" s="8">
        <v>50</v>
      </c>
      <c r="G750" s="8">
        <v>60</v>
      </c>
      <c r="H750" s="8">
        <v>59</v>
      </c>
      <c r="I750">
        <f t="shared" si="33"/>
        <v>169</v>
      </c>
      <c r="J750">
        <f t="shared" si="34"/>
        <v>56.333333333333336</v>
      </c>
      <c r="K750" s="7" t="str">
        <f t="shared" si="35"/>
        <v>pass</v>
      </c>
    </row>
    <row r="751" spans="1:11" x14ac:dyDescent="0.25">
      <c r="A751" t="str">
        <f>PROPER(TRIM('raw data'!A751))</f>
        <v>Male</v>
      </c>
      <c r="B751" t="str">
        <f>PROPER(TRIM('raw data'!B751))</f>
        <v>Group B</v>
      </c>
      <c r="C751" s="7" t="str">
        <f>PROPER(TRIM('raw data'!C751))</f>
        <v>Some College</v>
      </c>
      <c r="D751" s="7" t="str">
        <f>PROPER(TRIM('raw data'!D751))</f>
        <v>Standard</v>
      </c>
      <c r="E751" s="7" t="str">
        <f>PROPER(TRIM('raw data'!E751))</f>
        <v>Completed</v>
      </c>
      <c r="F751" s="8">
        <v>87</v>
      </c>
      <c r="G751" s="8">
        <v>84</v>
      </c>
      <c r="H751" s="8">
        <v>86</v>
      </c>
      <c r="I751">
        <f t="shared" si="33"/>
        <v>257</v>
      </c>
      <c r="J751">
        <f t="shared" si="34"/>
        <v>85.666666666666671</v>
      </c>
      <c r="K751" s="7" t="str">
        <f t="shared" si="35"/>
        <v>pass</v>
      </c>
    </row>
    <row r="752" spans="1:11" x14ac:dyDescent="0.25">
      <c r="A752" t="str">
        <f>PROPER(TRIM('raw data'!A752))</f>
        <v>Male</v>
      </c>
      <c r="B752" t="str">
        <f>PROPER(TRIM('raw data'!B752))</f>
        <v>Group D</v>
      </c>
      <c r="C752" s="7" t="str">
        <f>PROPER(TRIM('raw data'!C752))</f>
        <v>Some High School</v>
      </c>
      <c r="D752" s="7" t="str">
        <f>PROPER(TRIM('raw data'!D752))</f>
        <v>Standard</v>
      </c>
      <c r="E752" s="7" t="str">
        <f>PROPER(TRIM('raw data'!E752))</f>
        <v>Completed</v>
      </c>
      <c r="F752" s="8">
        <v>71</v>
      </c>
      <c r="G752" s="8">
        <v>69</v>
      </c>
      <c r="H752" s="8">
        <v>68</v>
      </c>
      <c r="I752">
        <f t="shared" si="33"/>
        <v>208</v>
      </c>
      <c r="J752">
        <f t="shared" si="34"/>
        <v>69.333333333333329</v>
      </c>
      <c r="K752" s="7" t="str">
        <f t="shared" si="35"/>
        <v>pass</v>
      </c>
    </row>
    <row r="753" spans="1:11" x14ac:dyDescent="0.25">
      <c r="A753" t="str">
        <f>PROPER(TRIM('raw data'!A753))</f>
        <v>Male</v>
      </c>
      <c r="B753" t="str">
        <f>PROPER(TRIM('raw data'!B753))</f>
        <v>Group E</v>
      </c>
      <c r="C753" s="7" t="str">
        <f>PROPER(TRIM('raw data'!C753))</f>
        <v>Some College</v>
      </c>
      <c r="D753" s="7" t="str">
        <f>PROPER(TRIM('raw data'!D753))</f>
        <v>Standard</v>
      </c>
      <c r="E753" s="7" t="str">
        <f>PROPER(TRIM('raw data'!E753))</f>
        <v>None</v>
      </c>
      <c r="F753" s="8">
        <v>68</v>
      </c>
      <c r="G753" s="8">
        <v>72</v>
      </c>
      <c r="H753" s="8">
        <v>65</v>
      </c>
      <c r="I753">
        <f t="shared" si="33"/>
        <v>205</v>
      </c>
      <c r="J753">
        <f t="shared" si="34"/>
        <v>68.333333333333329</v>
      </c>
      <c r="K753" s="7" t="str">
        <f t="shared" si="35"/>
        <v>pass</v>
      </c>
    </row>
    <row r="754" spans="1:11" x14ac:dyDescent="0.25">
      <c r="A754" t="str">
        <f>PROPER(TRIM('raw data'!A754))</f>
        <v>Male</v>
      </c>
      <c r="B754" t="str">
        <f>PROPER(TRIM('raw data'!B754))</f>
        <v>Group C</v>
      </c>
      <c r="C754" s="7" t="str">
        <f>PROPER(TRIM('raw data'!C754))</f>
        <v>Master'S Degree</v>
      </c>
      <c r="D754" s="7" t="str">
        <f>PROPER(TRIM('raw data'!D754))</f>
        <v>Free/Reduced</v>
      </c>
      <c r="E754" s="7" t="str">
        <f>PROPER(TRIM('raw data'!E754))</f>
        <v>Completed</v>
      </c>
      <c r="F754" s="8">
        <v>79</v>
      </c>
      <c r="G754" s="8">
        <v>77</v>
      </c>
      <c r="H754" s="8">
        <v>75</v>
      </c>
      <c r="I754">
        <f t="shared" si="33"/>
        <v>231</v>
      </c>
      <c r="J754">
        <f t="shared" si="34"/>
        <v>77</v>
      </c>
      <c r="K754" s="7" t="str">
        <f t="shared" si="35"/>
        <v>pass</v>
      </c>
    </row>
    <row r="755" spans="1:11" x14ac:dyDescent="0.25">
      <c r="A755" t="str">
        <f>PROPER(TRIM('raw data'!A755))</f>
        <v>Female</v>
      </c>
      <c r="B755" t="str">
        <f>PROPER(TRIM('raw data'!B755))</f>
        <v>Group C</v>
      </c>
      <c r="C755" s="7" t="str">
        <f>PROPER(TRIM('raw data'!C755))</f>
        <v>Some High School</v>
      </c>
      <c r="D755" s="7" t="str">
        <f>PROPER(TRIM('raw data'!D755))</f>
        <v>Standard</v>
      </c>
      <c r="E755" s="7" t="str">
        <f>PROPER(TRIM('raw data'!E755))</f>
        <v>Completed</v>
      </c>
      <c r="F755" s="8">
        <v>77</v>
      </c>
      <c r="G755" s="8">
        <v>90</v>
      </c>
      <c r="H755" s="8">
        <v>85</v>
      </c>
      <c r="I755">
        <f t="shared" si="33"/>
        <v>252</v>
      </c>
      <c r="J755">
        <f t="shared" si="34"/>
        <v>84</v>
      </c>
      <c r="K755" s="7" t="str">
        <f t="shared" si="35"/>
        <v>pass</v>
      </c>
    </row>
    <row r="756" spans="1:11" x14ac:dyDescent="0.25">
      <c r="A756" t="str">
        <f>PROPER(TRIM('raw data'!A756))</f>
        <v>Male</v>
      </c>
      <c r="B756" t="str">
        <f>PROPER(TRIM('raw data'!B756))</f>
        <v>Group C</v>
      </c>
      <c r="C756" s="7" t="str">
        <f>PROPER(TRIM('raw data'!C756))</f>
        <v>Associate'S Degree</v>
      </c>
      <c r="D756" s="7" t="str">
        <f>PROPER(TRIM('raw data'!D756))</f>
        <v>Free/Reduced</v>
      </c>
      <c r="E756" s="7" t="str">
        <f>PROPER(TRIM('raw data'!E756))</f>
        <v>None</v>
      </c>
      <c r="F756" s="8">
        <v>58</v>
      </c>
      <c r="G756" s="8">
        <v>55</v>
      </c>
      <c r="H756" s="8">
        <v>53</v>
      </c>
      <c r="I756">
        <f t="shared" si="33"/>
        <v>166</v>
      </c>
      <c r="J756">
        <f t="shared" si="34"/>
        <v>55.333333333333336</v>
      </c>
      <c r="K756" s="7" t="str">
        <f t="shared" si="35"/>
        <v>pass</v>
      </c>
    </row>
    <row r="757" spans="1:11" x14ac:dyDescent="0.25">
      <c r="A757" t="str">
        <f>PROPER(TRIM('raw data'!A757))</f>
        <v>Female</v>
      </c>
      <c r="B757" t="str">
        <f>PROPER(TRIM('raw data'!B757))</f>
        <v>Group E</v>
      </c>
      <c r="C757" s="7" t="str">
        <f>PROPER(TRIM('raw data'!C757))</f>
        <v>Associate'S Degree</v>
      </c>
      <c r="D757" s="7" t="str">
        <f>PROPER(TRIM('raw data'!D757))</f>
        <v>Standard</v>
      </c>
      <c r="E757" s="7" t="str">
        <f>PROPER(TRIM('raw data'!E757))</f>
        <v>None</v>
      </c>
      <c r="F757" s="8">
        <v>84</v>
      </c>
      <c r="G757" s="8">
        <v>95</v>
      </c>
      <c r="H757" s="8">
        <v>92</v>
      </c>
      <c r="I757">
        <f t="shared" si="33"/>
        <v>271</v>
      </c>
      <c r="J757">
        <f t="shared" si="34"/>
        <v>90.333333333333329</v>
      </c>
      <c r="K757" s="7" t="str">
        <f t="shared" si="35"/>
        <v>pass</v>
      </c>
    </row>
    <row r="758" spans="1:11" x14ac:dyDescent="0.25">
      <c r="A758" t="str">
        <f>PROPER(TRIM('raw data'!A758))</f>
        <v>Male</v>
      </c>
      <c r="B758" t="str">
        <f>PROPER(TRIM('raw data'!B758))</f>
        <v>Group D</v>
      </c>
      <c r="C758" s="7" t="str">
        <f>PROPER(TRIM('raw data'!C758))</f>
        <v>Some College</v>
      </c>
      <c r="D758" s="7" t="str">
        <f>PROPER(TRIM('raw data'!D758))</f>
        <v>Standard</v>
      </c>
      <c r="E758" s="7" t="str">
        <f>PROPER(TRIM('raw data'!E758))</f>
        <v>None</v>
      </c>
      <c r="F758" s="8">
        <v>55</v>
      </c>
      <c r="G758" s="8">
        <v>58</v>
      </c>
      <c r="H758" s="8">
        <v>52</v>
      </c>
      <c r="I758">
        <f t="shared" si="33"/>
        <v>165</v>
      </c>
      <c r="J758">
        <f t="shared" si="34"/>
        <v>55</v>
      </c>
      <c r="K758" s="7" t="str">
        <f t="shared" si="35"/>
        <v>pass</v>
      </c>
    </row>
    <row r="759" spans="1:11" x14ac:dyDescent="0.25">
      <c r="A759" t="str">
        <f>PROPER(TRIM('raw data'!A759))</f>
        <v>Male</v>
      </c>
      <c r="B759" t="str">
        <f>PROPER(TRIM('raw data'!B759))</f>
        <v>Group E</v>
      </c>
      <c r="C759" s="7" t="str">
        <f>PROPER(TRIM('raw data'!C759))</f>
        <v>Bachelor'S Degree</v>
      </c>
      <c r="D759" s="7" t="str">
        <f>PROPER(TRIM('raw data'!D759))</f>
        <v>Free/Reduced</v>
      </c>
      <c r="E759" s="7" t="str">
        <f>PROPER(TRIM('raw data'!E759))</f>
        <v>Completed</v>
      </c>
      <c r="F759" s="8">
        <v>70</v>
      </c>
      <c r="G759" s="8">
        <v>68</v>
      </c>
      <c r="H759" s="8">
        <v>72</v>
      </c>
      <c r="I759">
        <f t="shared" si="33"/>
        <v>210</v>
      </c>
      <c r="J759">
        <f t="shared" si="34"/>
        <v>70</v>
      </c>
      <c r="K759" s="7" t="str">
        <f t="shared" si="35"/>
        <v>pass</v>
      </c>
    </row>
    <row r="760" spans="1:11" x14ac:dyDescent="0.25">
      <c r="A760" t="str">
        <f>PROPER(TRIM('raw data'!A760))</f>
        <v>Female</v>
      </c>
      <c r="B760" t="str">
        <f>PROPER(TRIM('raw data'!B760))</f>
        <v>Group D</v>
      </c>
      <c r="C760" s="7" t="str">
        <f>PROPER(TRIM('raw data'!C760))</f>
        <v>Some College</v>
      </c>
      <c r="D760" s="7" t="str">
        <f>PROPER(TRIM('raw data'!D760))</f>
        <v>Free/Reduced</v>
      </c>
      <c r="E760" s="7" t="str">
        <f>PROPER(TRIM('raw data'!E760))</f>
        <v>Completed</v>
      </c>
      <c r="F760" s="8">
        <v>52</v>
      </c>
      <c r="G760" s="8">
        <v>59</v>
      </c>
      <c r="H760" s="8">
        <v>65</v>
      </c>
      <c r="I760">
        <f t="shared" si="33"/>
        <v>176</v>
      </c>
      <c r="J760">
        <f t="shared" si="34"/>
        <v>58.666666666666664</v>
      </c>
      <c r="K760" s="7" t="str">
        <f t="shared" si="35"/>
        <v>pass</v>
      </c>
    </row>
    <row r="761" spans="1:11" x14ac:dyDescent="0.25">
      <c r="A761" t="str">
        <f>PROPER(TRIM('raw data'!A761))</f>
        <v>Male</v>
      </c>
      <c r="B761" t="str">
        <f>PROPER(TRIM('raw data'!B761))</f>
        <v>Group B</v>
      </c>
      <c r="C761" s="7" t="str">
        <f>PROPER(TRIM('raw data'!C761))</f>
        <v>Some College</v>
      </c>
      <c r="D761" s="7" t="str">
        <f>PROPER(TRIM('raw data'!D761))</f>
        <v>Standard</v>
      </c>
      <c r="E761" s="7" t="str">
        <f>PROPER(TRIM('raw data'!E761))</f>
        <v>Completed</v>
      </c>
      <c r="F761" s="8">
        <v>69</v>
      </c>
      <c r="G761" s="8">
        <v>77</v>
      </c>
      <c r="H761" s="8">
        <v>77</v>
      </c>
      <c r="I761">
        <f t="shared" si="33"/>
        <v>223</v>
      </c>
      <c r="J761">
        <f t="shared" si="34"/>
        <v>74.333333333333329</v>
      </c>
      <c r="K761" s="7" t="str">
        <f t="shared" si="35"/>
        <v>pass</v>
      </c>
    </row>
    <row r="762" spans="1:11" x14ac:dyDescent="0.25">
      <c r="A762" t="str">
        <f>PROPER(TRIM('raw data'!A762))</f>
        <v>Female</v>
      </c>
      <c r="B762" t="str">
        <f>PROPER(TRIM('raw data'!B762))</f>
        <v>Group C</v>
      </c>
      <c r="C762" s="7" t="str">
        <f>PROPER(TRIM('raw data'!C762))</f>
        <v>High School</v>
      </c>
      <c r="D762" s="7" t="str">
        <f>PROPER(TRIM('raw data'!D762))</f>
        <v>Free/Reduced</v>
      </c>
      <c r="E762" s="7" t="str">
        <f>PROPER(TRIM('raw data'!E762))</f>
        <v>None</v>
      </c>
      <c r="F762" s="8">
        <v>53</v>
      </c>
      <c r="G762" s="8">
        <v>72</v>
      </c>
      <c r="H762" s="8">
        <v>64</v>
      </c>
      <c r="I762">
        <f t="shared" si="33"/>
        <v>189</v>
      </c>
      <c r="J762">
        <f t="shared" si="34"/>
        <v>63</v>
      </c>
      <c r="K762" s="7" t="str">
        <f t="shared" si="35"/>
        <v>pass</v>
      </c>
    </row>
    <row r="763" spans="1:11" x14ac:dyDescent="0.25">
      <c r="A763" t="str">
        <f>PROPER(TRIM('raw data'!A763))</f>
        <v>Female</v>
      </c>
      <c r="B763" t="str">
        <f>PROPER(TRIM('raw data'!B763))</f>
        <v>Group D</v>
      </c>
      <c r="C763" s="7" t="str">
        <f>PROPER(TRIM('raw data'!C763))</f>
        <v>Some High School</v>
      </c>
      <c r="D763" s="7" t="str">
        <f>PROPER(TRIM('raw data'!D763))</f>
        <v>Standard</v>
      </c>
      <c r="E763" s="7" t="str">
        <f>PROPER(TRIM('raw data'!E763))</f>
        <v>None</v>
      </c>
      <c r="F763" s="8">
        <v>48</v>
      </c>
      <c r="G763" s="8">
        <v>58</v>
      </c>
      <c r="H763" s="8">
        <v>54</v>
      </c>
      <c r="I763">
        <f t="shared" si="33"/>
        <v>160</v>
      </c>
      <c r="J763">
        <f t="shared" si="34"/>
        <v>53.333333333333336</v>
      </c>
      <c r="K763" s="7" t="str">
        <f t="shared" si="35"/>
        <v>pass</v>
      </c>
    </row>
    <row r="764" spans="1:11" x14ac:dyDescent="0.25">
      <c r="A764" t="str">
        <f>PROPER(TRIM('raw data'!A764))</f>
        <v>Male</v>
      </c>
      <c r="B764" t="str">
        <f>PROPER(TRIM('raw data'!B764))</f>
        <v>Group D</v>
      </c>
      <c r="C764" s="7" t="str">
        <f>PROPER(TRIM('raw data'!C764))</f>
        <v>Some High School</v>
      </c>
      <c r="D764" s="7" t="str">
        <f>PROPER(TRIM('raw data'!D764))</f>
        <v>Standard</v>
      </c>
      <c r="E764" s="7" t="str">
        <f>PROPER(TRIM('raw data'!E764))</f>
        <v>Completed</v>
      </c>
      <c r="F764" s="8">
        <v>78</v>
      </c>
      <c r="G764" s="8">
        <v>81</v>
      </c>
      <c r="H764" s="8">
        <v>86</v>
      </c>
      <c r="I764">
        <f t="shared" si="33"/>
        <v>245</v>
      </c>
      <c r="J764">
        <f t="shared" si="34"/>
        <v>81.666666666666671</v>
      </c>
      <c r="K764" s="7" t="str">
        <f t="shared" si="35"/>
        <v>pass</v>
      </c>
    </row>
    <row r="765" spans="1:11" x14ac:dyDescent="0.25">
      <c r="A765" t="str">
        <f>PROPER(TRIM('raw data'!A765))</f>
        <v>Female</v>
      </c>
      <c r="B765" t="str">
        <f>PROPER(TRIM('raw data'!B765))</f>
        <v>Group B</v>
      </c>
      <c r="C765" s="7" t="str">
        <f>PROPER(TRIM('raw data'!C765))</f>
        <v>High School</v>
      </c>
      <c r="D765" s="7" t="str">
        <f>PROPER(TRIM('raw data'!D765))</f>
        <v>Standard</v>
      </c>
      <c r="E765" s="7" t="str">
        <f>PROPER(TRIM('raw data'!E765))</f>
        <v>None</v>
      </c>
      <c r="F765" s="8">
        <v>62</v>
      </c>
      <c r="G765" s="8">
        <v>62</v>
      </c>
      <c r="H765" s="8">
        <v>63</v>
      </c>
      <c r="I765">
        <f t="shared" si="33"/>
        <v>187</v>
      </c>
      <c r="J765">
        <f t="shared" si="34"/>
        <v>62.333333333333336</v>
      </c>
      <c r="K765" s="7" t="str">
        <f t="shared" si="35"/>
        <v>pass</v>
      </c>
    </row>
    <row r="766" spans="1:11" x14ac:dyDescent="0.25">
      <c r="A766" t="str">
        <f>PROPER(TRIM('raw data'!A766))</f>
        <v>Male</v>
      </c>
      <c r="B766" t="str">
        <f>PROPER(TRIM('raw data'!B766))</f>
        <v>Group D</v>
      </c>
      <c r="C766" s="7" t="str">
        <f>PROPER(TRIM('raw data'!C766))</f>
        <v>Some College</v>
      </c>
      <c r="D766" s="7" t="str">
        <f>PROPER(TRIM('raw data'!D766))</f>
        <v>Standard</v>
      </c>
      <c r="E766" s="7" t="str">
        <f>PROPER(TRIM('raw data'!E766))</f>
        <v>None</v>
      </c>
      <c r="F766" s="8">
        <v>60</v>
      </c>
      <c r="G766" s="8">
        <v>63</v>
      </c>
      <c r="H766" s="8">
        <v>59</v>
      </c>
      <c r="I766">
        <f t="shared" si="33"/>
        <v>182</v>
      </c>
      <c r="J766">
        <f t="shared" si="34"/>
        <v>60.666666666666664</v>
      </c>
      <c r="K766" s="7" t="str">
        <f t="shared" si="35"/>
        <v>pass</v>
      </c>
    </row>
    <row r="767" spans="1:11" x14ac:dyDescent="0.25">
      <c r="A767" t="str">
        <f>PROPER(TRIM('raw data'!A767))</f>
        <v>Female</v>
      </c>
      <c r="B767" t="str">
        <f>PROPER(TRIM('raw data'!B767))</f>
        <v>Group B</v>
      </c>
      <c r="C767" s="7" t="str">
        <f>PROPER(TRIM('raw data'!C767))</f>
        <v>High School</v>
      </c>
      <c r="D767" s="7" t="str">
        <f>PROPER(TRIM('raw data'!D767))</f>
        <v>Standard</v>
      </c>
      <c r="E767" s="7" t="str">
        <f>PROPER(TRIM('raw data'!E767))</f>
        <v>None</v>
      </c>
      <c r="F767" s="8">
        <v>74</v>
      </c>
      <c r="G767" s="8">
        <v>72</v>
      </c>
      <c r="H767" s="8">
        <v>72</v>
      </c>
      <c r="I767">
        <f t="shared" si="33"/>
        <v>218</v>
      </c>
      <c r="J767">
        <f t="shared" si="34"/>
        <v>72.666666666666671</v>
      </c>
      <c r="K767" s="7" t="str">
        <f t="shared" si="35"/>
        <v>pass</v>
      </c>
    </row>
    <row r="768" spans="1:11" x14ac:dyDescent="0.25">
      <c r="A768" t="str">
        <f>PROPER(TRIM('raw data'!A768))</f>
        <v>Female</v>
      </c>
      <c r="B768" t="str">
        <f>PROPER(TRIM('raw data'!B768))</f>
        <v>Group C</v>
      </c>
      <c r="C768" s="7" t="str">
        <f>PROPER(TRIM('raw data'!C768))</f>
        <v>High School</v>
      </c>
      <c r="D768" s="7" t="str">
        <f>PROPER(TRIM('raw data'!D768))</f>
        <v>Standard</v>
      </c>
      <c r="E768" s="7" t="str">
        <f>PROPER(TRIM('raw data'!E768))</f>
        <v>Completed</v>
      </c>
      <c r="F768" s="8">
        <v>58</v>
      </c>
      <c r="G768" s="8">
        <v>75</v>
      </c>
      <c r="H768" s="8">
        <v>77</v>
      </c>
      <c r="I768">
        <f t="shared" si="33"/>
        <v>210</v>
      </c>
      <c r="J768">
        <f t="shared" si="34"/>
        <v>70</v>
      </c>
      <c r="K768" s="7" t="str">
        <f t="shared" si="35"/>
        <v>pass</v>
      </c>
    </row>
    <row r="769" spans="1:11" x14ac:dyDescent="0.25">
      <c r="A769" t="str">
        <f>PROPER(TRIM('raw data'!A769))</f>
        <v>Male</v>
      </c>
      <c r="B769" t="str">
        <f>PROPER(TRIM('raw data'!B769))</f>
        <v>Group B</v>
      </c>
      <c r="C769" s="7" t="str">
        <f>PROPER(TRIM('raw data'!C769))</f>
        <v>High School</v>
      </c>
      <c r="D769" s="7" t="str">
        <f>PROPER(TRIM('raw data'!D769))</f>
        <v>Standard</v>
      </c>
      <c r="E769" s="7" t="str">
        <f>PROPER(TRIM('raw data'!E769))</f>
        <v>Completed</v>
      </c>
      <c r="F769" s="8">
        <v>76</v>
      </c>
      <c r="G769" s="8">
        <v>62</v>
      </c>
      <c r="H769" s="8">
        <v>60</v>
      </c>
      <c r="I769">
        <f t="shared" si="33"/>
        <v>198</v>
      </c>
      <c r="J769">
        <f t="shared" si="34"/>
        <v>66</v>
      </c>
      <c r="K769" s="7" t="str">
        <f t="shared" si="35"/>
        <v>pass</v>
      </c>
    </row>
    <row r="770" spans="1:11" x14ac:dyDescent="0.25">
      <c r="A770" t="str">
        <f>PROPER(TRIM('raw data'!A770))</f>
        <v>Female</v>
      </c>
      <c r="B770" t="str">
        <f>PROPER(TRIM('raw data'!B770))</f>
        <v>Group D</v>
      </c>
      <c r="C770" s="7" t="str">
        <f>PROPER(TRIM('raw data'!C770))</f>
        <v>Some High School</v>
      </c>
      <c r="D770" s="7" t="str">
        <f>PROPER(TRIM('raw data'!D770))</f>
        <v>Standard</v>
      </c>
      <c r="E770" s="7" t="str">
        <f>PROPER(TRIM('raw data'!E770))</f>
        <v>None</v>
      </c>
      <c r="F770" s="8">
        <v>68</v>
      </c>
      <c r="G770" s="8">
        <v>71</v>
      </c>
      <c r="H770" s="8">
        <v>75</v>
      </c>
      <c r="I770">
        <f t="shared" si="33"/>
        <v>214</v>
      </c>
      <c r="J770">
        <f t="shared" si="34"/>
        <v>71.333333333333329</v>
      </c>
      <c r="K770" s="7" t="str">
        <f t="shared" si="35"/>
        <v>pass</v>
      </c>
    </row>
    <row r="771" spans="1:11" x14ac:dyDescent="0.25">
      <c r="A771" t="str">
        <f>PROPER(TRIM('raw data'!A771))</f>
        <v>Male</v>
      </c>
      <c r="B771" t="str">
        <f>PROPER(TRIM('raw data'!B771))</f>
        <v>Group A</v>
      </c>
      <c r="C771" s="7" t="str">
        <f>PROPER(TRIM('raw data'!C771))</f>
        <v>Some College</v>
      </c>
      <c r="D771" s="7" t="str">
        <f>PROPER(TRIM('raw data'!D771))</f>
        <v>Free/Reduced</v>
      </c>
      <c r="E771" s="7" t="str">
        <f>PROPER(TRIM('raw data'!E771))</f>
        <v>None</v>
      </c>
      <c r="F771" s="8">
        <v>58</v>
      </c>
      <c r="G771" s="8">
        <v>60</v>
      </c>
      <c r="H771" s="8">
        <v>57</v>
      </c>
      <c r="I771">
        <f t="shared" ref="I771:I834" si="36">F771+G771+H771</f>
        <v>175</v>
      </c>
      <c r="J771">
        <f t="shared" ref="J771:J834" si="37">I771/3</f>
        <v>58.333333333333336</v>
      </c>
      <c r="K771" s="7" t="str">
        <f t="shared" ref="K771:K834" si="38">IF(J771&gt;=40,"pass","fail")</f>
        <v>pass</v>
      </c>
    </row>
    <row r="772" spans="1:11" x14ac:dyDescent="0.25">
      <c r="A772" t="str">
        <f>PROPER(TRIM('raw data'!A772))</f>
        <v>Male</v>
      </c>
      <c r="B772" t="str">
        <f>PROPER(TRIM('raw data'!B772))</f>
        <v>Group B</v>
      </c>
      <c r="C772" s="7" t="str">
        <f>PROPER(TRIM('raw data'!C772))</f>
        <v>High School</v>
      </c>
      <c r="D772" s="7" t="str">
        <f>PROPER(TRIM('raw data'!D772))</f>
        <v>Standard</v>
      </c>
      <c r="E772" s="7" t="str">
        <f>PROPER(TRIM('raw data'!E772))</f>
        <v>None</v>
      </c>
      <c r="F772" s="8">
        <v>52</v>
      </c>
      <c r="G772" s="8">
        <v>48</v>
      </c>
      <c r="H772" s="8">
        <v>49</v>
      </c>
      <c r="I772">
        <f t="shared" si="36"/>
        <v>149</v>
      </c>
      <c r="J772">
        <f t="shared" si="37"/>
        <v>49.666666666666664</v>
      </c>
      <c r="K772" s="7" t="str">
        <f t="shared" si="38"/>
        <v>pass</v>
      </c>
    </row>
    <row r="773" spans="1:11" x14ac:dyDescent="0.25">
      <c r="A773" t="str">
        <f>PROPER(TRIM('raw data'!A773))</f>
        <v>Male</v>
      </c>
      <c r="B773" t="str">
        <f>PROPER(TRIM('raw data'!B773))</f>
        <v>Group D</v>
      </c>
      <c r="C773" s="7" t="str">
        <f>PROPER(TRIM('raw data'!C773))</f>
        <v>Bachelor'S Degree</v>
      </c>
      <c r="D773" s="7" t="str">
        <f>PROPER(TRIM('raw data'!D773))</f>
        <v>Standard</v>
      </c>
      <c r="E773" s="7" t="str">
        <f>PROPER(TRIM('raw data'!E773))</f>
        <v>None</v>
      </c>
      <c r="F773" s="8">
        <v>75</v>
      </c>
      <c r="G773" s="8">
        <v>73</v>
      </c>
      <c r="H773" s="8">
        <v>74</v>
      </c>
      <c r="I773">
        <f t="shared" si="36"/>
        <v>222</v>
      </c>
      <c r="J773">
        <f t="shared" si="37"/>
        <v>74</v>
      </c>
      <c r="K773" s="7" t="str">
        <f t="shared" si="38"/>
        <v>pass</v>
      </c>
    </row>
    <row r="774" spans="1:11" x14ac:dyDescent="0.25">
      <c r="A774" t="str">
        <f>PROPER(TRIM('raw data'!A774))</f>
        <v>Female</v>
      </c>
      <c r="B774" t="str">
        <f>PROPER(TRIM('raw data'!B774))</f>
        <v>Group B</v>
      </c>
      <c r="C774" s="7" t="str">
        <f>PROPER(TRIM('raw data'!C774))</f>
        <v>Some High School</v>
      </c>
      <c r="D774" s="7" t="str">
        <f>PROPER(TRIM('raw data'!D774))</f>
        <v>Free/Reduced</v>
      </c>
      <c r="E774" s="7" t="str">
        <f>PROPER(TRIM('raw data'!E774))</f>
        <v>Completed</v>
      </c>
      <c r="F774" s="8">
        <v>52</v>
      </c>
      <c r="G774" s="8">
        <v>67</v>
      </c>
      <c r="H774" s="8">
        <v>72</v>
      </c>
      <c r="I774">
        <f t="shared" si="36"/>
        <v>191</v>
      </c>
      <c r="J774">
        <f t="shared" si="37"/>
        <v>63.666666666666664</v>
      </c>
      <c r="K774" s="7" t="str">
        <f t="shared" si="38"/>
        <v>pass</v>
      </c>
    </row>
    <row r="775" spans="1:11" x14ac:dyDescent="0.25">
      <c r="A775" t="str">
        <f>PROPER(TRIM('raw data'!A775))</f>
        <v>Female</v>
      </c>
      <c r="B775" t="str">
        <f>PROPER(TRIM('raw data'!B775))</f>
        <v>Group C</v>
      </c>
      <c r="C775" s="7" t="str">
        <f>PROPER(TRIM('raw data'!C775))</f>
        <v>Bachelor'S Degree</v>
      </c>
      <c r="D775" s="7" t="str">
        <f>PROPER(TRIM('raw data'!D775))</f>
        <v>Free/Reduced</v>
      </c>
      <c r="E775" s="7" t="str">
        <f>PROPER(TRIM('raw data'!E775))</f>
        <v>None</v>
      </c>
      <c r="F775" s="8">
        <v>62</v>
      </c>
      <c r="G775" s="8">
        <v>78</v>
      </c>
      <c r="H775" s="8">
        <v>79</v>
      </c>
      <c r="I775">
        <f t="shared" si="36"/>
        <v>219</v>
      </c>
      <c r="J775">
        <f t="shared" si="37"/>
        <v>73</v>
      </c>
      <c r="K775" s="7" t="str">
        <f t="shared" si="38"/>
        <v>pass</v>
      </c>
    </row>
    <row r="776" spans="1:11" x14ac:dyDescent="0.25">
      <c r="A776" t="str">
        <f>PROPER(TRIM('raw data'!A776))</f>
        <v>Male</v>
      </c>
      <c r="B776" t="str">
        <f>PROPER(TRIM('raw data'!B776))</f>
        <v>Group B</v>
      </c>
      <c r="C776" s="7" t="str">
        <f>PROPER(TRIM('raw data'!C776))</f>
        <v>Some College</v>
      </c>
      <c r="D776" s="7" t="str">
        <f>PROPER(TRIM('raw data'!D776))</f>
        <v>Standard</v>
      </c>
      <c r="E776" s="7" t="str">
        <f>PROPER(TRIM('raw data'!E776))</f>
        <v>None</v>
      </c>
      <c r="F776" s="8">
        <v>66</v>
      </c>
      <c r="G776" s="8">
        <v>65</v>
      </c>
      <c r="H776" s="8">
        <v>60</v>
      </c>
      <c r="I776">
        <f t="shared" si="36"/>
        <v>191</v>
      </c>
      <c r="J776">
        <f t="shared" si="37"/>
        <v>63.666666666666664</v>
      </c>
      <c r="K776" s="7" t="str">
        <f t="shared" si="38"/>
        <v>pass</v>
      </c>
    </row>
    <row r="777" spans="1:11" x14ac:dyDescent="0.25">
      <c r="A777" t="str">
        <f>PROPER(TRIM('raw data'!A777))</f>
        <v>Female</v>
      </c>
      <c r="B777" t="str">
        <f>PROPER(TRIM('raw data'!B777))</f>
        <v>Group B</v>
      </c>
      <c r="C777" s="7" t="str">
        <f>PROPER(TRIM('raw data'!C777))</f>
        <v>Some High School</v>
      </c>
      <c r="D777" s="7" t="str">
        <f>PROPER(TRIM('raw data'!D777))</f>
        <v>Free/Reduced</v>
      </c>
      <c r="E777" s="7" t="str">
        <f>PROPER(TRIM('raw data'!E777))</f>
        <v>None</v>
      </c>
      <c r="F777" s="8">
        <v>49</v>
      </c>
      <c r="G777" s="8">
        <v>58</v>
      </c>
      <c r="H777" s="8">
        <v>55</v>
      </c>
      <c r="I777">
        <f t="shared" si="36"/>
        <v>162</v>
      </c>
      <c r="J777">
        <f t="shared" si="37"/>
        <v>54</v>
      </c>
      <c r="K777" s="7" t="str">
        <f t="shared" si="38"/>
        <v>pass</v>
      </c>
    </row>
    <row r="778" spans="1:11" x14ac:dyDescent="0.25">
      <c r="A778" t="str">
        <f>PROPER(TRIM('raw data'!A778))</f>
        <v>Female</v>
      </c>
      <c r="B778" t="str">
        <f>PROPER(TRIM('raw data'!B778))</f>
        <v>Group B</v>
      </c>
      <c r="C778" s="7" t="str">
        <f>PROPER(TRIM('raw data'!C778))</f>
        <v>High School</v>
      </c>
      <c r="D778" s="7" t="str">
        <f>PROPER(TRIM('raw data'!D778))</f>
        <v>Standard</v>
      </c>
      <c r="E778" s="7" t="str">
        <f>PROPER(TRIM('raw data'!E778))</f>
        <v>None</v>
      </c>
      <c r="F778" s="8">
        <v>66</v>
      </c>
      <c r="G778" s="8">
        <v>72</v>
      </c>
      <c r="H778" s="8">
        <v>70</v>
      </c>
      <c r="I778">
        <f t="shared" si="36"/>
        <v>208</v>
      </c>
      <c r="J778">
        <f t="shared" si="37"/>
        <v>69.333333333333329</v>
      </c>
      <c r="K778" s="7" t="str">
        <f t="shared" si="38"/>
        <v>pass</v>
      </c>
    </row>
    <row r="779" spans="1:11" x14ac:dyDescent="0.25">
      <c r="A779" t="str">
        <f>PROPER(TRIM('raw data'!A779))</f>
        <v>Female</v>
      </c>
      <c r="B779" t="str">
        <f>PROPER(TRIM('raw data'!B779))</f>
        <v>Group C</v>
      </c>
      <c r="C779" s="7" t="str">
        <f>PROPER(TRIM('raw data'!C779))</f>
        <v>Some College</v>
      </c>
      <c r="D779" s="7" t="str">
        <f>PROPER(TRIM('raw data'!D779))</f>
        <v>Free/Reduced</v>
      </c>
      <c r="E779" s="7" t="str">
        <f>PROPER(TRIM('raw data'!E779))</f>
        <v>None</v>
      </c>
      <c r="F779" s="8">
        <v>35</v>
      </c>
      <c r="G779" s="8">
        <v>44</v>
      </c>
      <c r="H779" s="8">
        <v>43</v>
      </c>
      <c r="I779">
        <f t="shared" si="36"/>
        <v>122</v>
      </c>
      <c r="J779">
        <f t="shared" si="37"/>
        <v>40.666666666666664</v>
      </c>
      <c r="K779" s="7" t="str">
        <f t="shared" si="38"/>
        <v>pass</v>
      </c>
    </row>
    <row r="780" spans="1:11" x14ac:dyDescent="0.25">
      <c r="A780" t="str">
        <f>PROPER(TRIM('raw data'!A780))</f>
        <v>Female</v>
      </c>
      <c r="B780" t="str">
        <f>PROPER(TRIM('raw data'!B780))</f>
        <v>Group A</v>
      </c>
      <c r="C780" s="7" t="str">
        <f>PROPER(TRIM('raw data'!C780))</f>
        <v>Some College</v>
      </c>
      <c r="D780" s="7" t="str">
        <f>PROPER(TRIM('raw data'!D780))</f>
        <v>Standard</v>
      </c>
      <c r="E780" s="7" t="str">
        <f>PROPER(TRIM('raw data'!E780))</f>
        <v>Completed</v>
      </c>
      <c r="F780" s="8">
        <v>72</v>
      </c>
      <c r="G780" s="8">
        <v>79</v>
      </c>
      <c r="H780" s="8">
        <v>82</v>
      </c>
      <c r="I780">
        <f t="shared" si="36"/>
        <v>233</v>
      </c>
      <c r="J780">
        <f t="shared" si="37"/>
        <v>77.666666666666671</v>
      </c>
      <c r="K780" s="7" t="str">
        <f t="shared" si="38"/>
        <v>pass</v>
      </c>
    </row>
    <row r="781" spans="1:11" x14ac:dyDescent="0.25">
      <c r="A781" t="str">
        <f>PROPER(TRIM('raw data'!A781))</f>
        <v>Male</v>
      </c>
      <c r="B781" t="str">
        <f>PROPER(TRIM('raw data'!B781))</f>
        <v>Group E</v>
      </c>
      <c r="C781" s="7" t="str">
        <f>PROPER(TRIM('raw data'!C781))</f>
        <v>Associate'S Degree</v>
      </c>
      <c r="D781" s="7" t="str">
        <f>PROPER(TRIM('raw data'!D781))</f>
        <v>Standard</v>
      </c>
      <c r="E781" s="7" t="str">
        <f>PROPER(TRIM('raw data'!E781))</f>
        <v>Completed</v>
      </c>
      <c r="F781" s="8">
        <v>94</v>
      </c>
      <c r="G781" s="8">
        <v>85</v>
      </c>
      <c r="H781" s="8">
        <v>82</v>
      </c>
      <c r="I781">
        <f t="shared" si="36"/>
        <v>261</v>
      </c>
      <c r="J781">
        <f t="shared" si="37"/>
        <v>87</v>
      </c>
      <c r="K781" s="7" t="str">
        <f t="shared" si="38"/>
        <v>pass</v>
      </c>
    </row>
    <row r="782" spans="1:11" x14ac:dyDescent="0.25">
      <c r="A782" t="str">
        <f>PROPER(TRIM('raw data'!A782))</f>
        <v>Female</v>
      </c>
      <c r="B782" t="str">
        <f>PROPER(TRIM('raw data'!B782))</f>
        <v>Group D</v>
      </c>
      <c r="C782" s="7" t="str">
        <f>PROPER(TRIM('raw data'!C782))</f>
        <v>Associate'S Degree</v>
      </c>
      <c r="D782" s="7" t="str">
        <f>PROPER(TRIM('raw data'!D782))</f>
        <v>Free/Reduced</v>
      </c>
      <c r="E782" s="7" t="str">
        <f>PROPER(TRIM('raw data'!E782))</f>
        <v>None</v>
      </c>
      <c r="F782" s="8">
        <v>46</v>
      </c>
      <c r="G782" s="8">
        <v>56</v>
      </c>
      <c r="H782" s="8">
        <v>57</v>
      </c>
      <c r="I782">
        <f t="shared" si="36"/>
        <v>159</v>
      </c>
      <c r="J782">
        <f t="shared" si="37"/>
        <v>53</v>
      </c>
      <c r="K782" s="7" t="str">
        <f t="shared" si="38"/>
        <v>pass</v>
      </c>
    </row>
    <row r="783" spans="1:11" x14ac:dyDescent="0.25">
      <c r="A783" t="str">
        <f>PROPER(TRIM('raw data'!A783))</f>
        <v>Female</v>
      </c>
      <c r="B783" t="str">
        <f>PROPER(TRIM('raw data'!B783))</f>
        <v>Group B</v>
      </c>
      <c r="C783" s="7" t="str">
        <f>PROPER(TRIM('raw data'!C783))</f>
        <v>Master'S Degree</v>
      </c>
      <c r="D783" s="7" t="str">
        <f>PROPER(TRIM('raw data'!D783))</f>
        <v>Standard</v>
      </c>
      <c r="E783" s="7" t="str">
        <f>PROPER(TRIM('raw data'!E783))</f>
        <v>None</v>
      </c>
      <c r="F783" s="8">
        <v>77</v>
      </c>
      <c r="G783" s="8">
        <v>90</v>
      </c>
      <c r="H783" s="8">
        <v>84</v>
      </c>
      <c r="I783">
        <f t="shared" si="36"/>
        <v>251</v>
      </c>
      <c r="J783">
        <f t="shared" si="37"/>
        <v>83.666666666666671</v>
      </c>
      <c r="K783" s="7" t="str">
        <f t="shared" si="38"/>
        <v>pass</v>
      </c>
    </row>
    <row r="784" spans="1:11" x14ac:dyDescent="0.25">
      <c r="A784" t="str">
        <f>PROPER(TRIM('raw data'!A784))</f>
        <v>Female</v>
      </c>
      <c r="B784" t="str">
        <f>PROPER(TRIM('raw data'!B784))</f>
        <v>Group B</v>
      </c>
      <c r="C784" s="7" t="str">
        <f>PROPER(TRIM('raw data'!C784))</f>
        <v>High School</v>
      </c>
      <c r="D784" s="7" t="str">
        <f>PROPER(TRIM('raw data'!D784))</f>
        <v>Free/Reduced</v>
      </c>
      <c r="E784" s="7" t="str">
        <f>PROPER(TRIM('raw data'!E784))</f>
        <v>Completed</v>
      </c>
      <c r="F784" s="8">
        <v>76</v>
      </c>
      <c r="G784" s="8">
        <v>85</v>
      </c>
      <c r="H784" s="8">
        <v>82</v>
      </c>
      <c r="I784">
        <f t="shared" si="36"/>
        <v>243</v>
      </c>
      <c r="J784">
        <f t="shared" si="37"/>
        <v>81</v>
      </c>
      <c r="K784" s="7" t="str">
        <f t="shared" si="38"/>
        <v>pass</v>
      </c>
    </row>
    <row r="785" spans="1:11" x14ac:dyDescent="0.25">
      <c r="A785" t="str">
        <f>PROPER(TRIM('raw data'!A785))</f>
        <v>Female</v>
      </c>
      <c r="B785" t="str">
        <f>PROPER(TRIM('raw data'!B785))</f>
        <v>Group C</v>
      </c>
      <c r="C785" s="7" t="str">
        <f>PROPER(TRIM('raw data'!C785))</f>
        <v>Associate'S Degree</v>
      </c>
      <c r="D785" s="7" t="str">
        <f>PROPER(TRIM('raw data'!D785))</f>
        <v>Standard</v>
      </c>
      <c r="E785" s="7" t="str">
        <f>PROPER(TRIM('raw data'!E785))</f>
        <v>Completed</v>
      </c>
      <c r="F785" s="8">
        <v>52</v>
      </c>
      <c r="G785" s="8">
        <v>59</v>
      </c>
      <c r="H785" s="8">
        <v>62</v>
      </c>
      <c r="I785">
        <f t="shared" si="36"/>
        <v>173</v>
      </c>
      <c r="J785">
        <f t="shared" si="37"/>
        <v>57.666666666666664</v>
      </c>
      <c r="K785" s="7" t="str">
        <f t="shared" si="38"/>
        <v>pass</v>
      </c>
    </row>
    <row r="786" spans="1:11" x14ac:dyDescent="0.25">
      <c r="A786" t="str">
        <f>PROPER(TRIM('raw data'!A786))</f>
        <v>Male</v>
      </c>
      <c r="B786" t="str">
        <f>PROPER(TRIM('raw data'!B786))</f>
        <v>Group C</v>
      </c>
      <c r="C786" s="7" t="str">
        <f>PROPER(TRIM('raw data'!C786))</f>
        <v>Bachelor'S Degree</v>
      </c>
      <c r="D786" s="7" t="str">
        <f>PROPER(TRIM('raw data'!D786))</f>
        <v>Standard</v>
      </c>
      <c r="E786" s="7" t="str">
        <f>PROPER(TRIM('raw data'!E786))</f>
        <v>Completed</v>
      </c>
      <c r="F786" s="8">
        <v>91</v>
      </c>
      <c r="G786" s="8">
        <v>81</v>
      </c>
      <c r="H786" s="8">
        <v>79</v>
      </c>
      <c r="I786">
        <f t="shared" si="36"/>
        <v>251</v>
      </c>
      <c r="J786">
        <f t="shared" si="37"/>
        <v>83.666666666666671</v>
      </c>
      <c r="K786" s="7" t="str">
        <f t="shared" si="38"/>
        <v>pass</v>
      </c>
    </row>
    <row r="787" spans="1:11" x14ac:dyDescent="0.25">
      <c r="A787" t="str">
        <f>PROPER(TRIM('raw data'!A787))</f>
        <v>Female</v>
      </c>
      <c r="B787" t="str">
        <f>PROPER(TRIM('raw data'!B787))</f>
        <v>Group B</v>
      </c>
      <c r="C787" s="7" t="str">
        <f>PROPER(TRIM('raw data'!C787))</f>
        <v>Some High School</v>
      </c>
      <c r="D787" s="7" t="str">
        <f>PROPER(TRIM('raw data'!D787))</f>
        <v>Standard</v>
      </c>
      <c r="E787" s="7" t="str">
        <f>PROPER(TRIM('raw data'!E787))</f>
        <v>Completed</v>
      </c>
      <c r="F787" s="8">
        <v>32</v>
      </c>
      <c r="G787" s="8">
        <v>51</v>
      </c>
      <c r="H787" s="8">
        <v>44</v>
      </c>
      <c r="I787">
        <f t="shared" si="36"/>
        <v>127</v>
      </c>
      <c r="J787">
        <f t="shared" si="37"/>
        <v>42.333333333333336</v>
      </c>
      <c r="K787" s="7" t="str">
        <f t="shared" si="38"/>
        <v>pass</v>
      </c>
    </row>
    <row r="788" spans="1:11" x14ac:dyDescent="0.25">
      <c r="A788" t="str">
        <f>PROPER(TRIM('raw data'!A788))</f>
        <v>Female</v>
      </c>
      <c r="B788" t="str">
        <f>PROPER(TRIM('raw data'!B788))</f>
        <v>Group E</v>
      </c>
      <c r="C788" s="7" t="str">
        <f>PROPER(TRIM('raw data'!C788))</f>
        <v>Some High School</v>
      </c>
      <c r="D788" s="7" t="str">
        <f>PROPER(TRIM('raw data'!D788))</f>
        <v>Free/Reduced</v>
      </c>
      <c r="E788" s="7" t="str">
        <f>PROPER(TRIM('raw data'!E788))</f>
        <v>None</v>
      </c>
      <c r="F788" s="8">
        <v>72</v>
      </c>
      <c r="G788" s="8">
        <v>79</v>
      </c>
      <c r="H788" s="8">
        <v>77</v>
      </c>
      <c r="I788">
        <f t="shared" si="36"/>
        <v>228</v>
      </c>
      <c r="J788">
        <f t="shared" si="37"/>
        <v>76</v>
      </c>
      <c r="K788" s="7" t="str">
        <f t="shared" si="38"/>
        <v>pass</v>
      </c>
    </row>
    <row r="789" spans="1:11" x14ac:dyDescent="0.25">
      <c r="A789" t="str">
        <f>PROPER(TRIM('raw data'!A789))</f>
        <v>Female</v>
      </c>
      <c r="B789" t="str">
        <f>PROPER(TRIM('raw data'!B789))</f>
        <v>Group B</v>
      </c>
      <c r="C789" s="7" t="str">
        <f>PROPER(TRIM('raw data'!C789))</f>
        <v>Some College</v>
      </c>
      <c r="D789" s="7" t="str">
        <f>PROPER(TRIM('raw data'!D789))</f>
        <v>Standard</v>
      </c>
      <c r="E789" s="7" t="str">
        <f>PROPER(TRIM('raw data'!E789))</f>
        <v>None</v>
      </c>
      <c r="F789" s="8">
        <v>19</v>
      </c>
      <c r="G789" s="8">
        <v>38</v>
      </c>
      <c r="H789" s="8">
        <v>32</v>
      </c>
      <c r="I789">
        <f t="shared" si="36"/>
        <v>89</v>
      </c>
      <c r="J789">
        <f t="shared" si="37"/>
        <v>29.666666666666668</v>
      </c>
      <c r="K789" s="7" t="str">
        <f t="shared" si="38"/>
        <v>fail</v>
      </c>
    </row>
    <row r="790" spans="1:11" x14ac:dyDescent="0.25">
      <c r="A790" t="str">
        <f>PROPER(TRIM('raw data'!A790))</f>
        <v>Male</v>
      </c>
      <c r="B790" t="str">
        <f>PROPER(TRIM('raw data'!B790))</f>
        <v>Group C</v>
      </c>
      <c r="C790" s="7" t="str">
        <f>PROPER(TRIM('raw data'!C790))</f>
        <v>Associate'S Degree</v>
      </c>
      <c r="D790" s="7" t="str">
        <f>PROPER(TRIM('raw data'!D790))</f>
        <v>Free/Reduced</v>
      </c>
      <c r="E790" s="7" t="str">
        <f>PROPER(TRIM('raw data'!E790))</f>
        <v>None</v>
      </c>
      <c r="F790" s="8">
        <v>68</v>
      </c>
      <c r="G790" s="8">
        <v>65</v>
      </c>
      <c r="H790" s="8">
        <v>61</v>
      </c>
      <c r="I790">
        <f t="shared" si="36"/>
        <v>194</v>
      </c>
      <c r="J790">
        <f t="shared" si="37"/>
        <v>64.666666666666671</v>
      </c>
      <c r="K790" s="7" t="str">
        <f t="shared" si="38"/>
        <v>pass</v>
      </c>
    </row>
    <row r="791" spans="1:11" x14ac:dyDescent="0.25">
      <c r="A791" t="str">
        <f>PROPER(TRIM('raw data'!A791))</f>
        <v>Female</v>
      </c>
      <c r="B791" t="str">
        <f>PROPER(TRIM('raw data'!B791))</f>
        <v>Group C</v>
      </c>
      <c r="C791" s="7" t="str">
        <f>PROPER(TRIM('raw data'!C791))</f>
        <v>Master'S Degree</v>
      </c>
      <c r="D791" s="7" t="str">
        <f>PROPER(TRIM('raw data'!D791))</f>
        <v>Free/Reduced</v>
      </c>
      <c r="E791" s="7" t="str">
        <f>PROPER(TRIM('raw data'!E791))</f>
        <v>None</v>
      </c>
      <c r="F791" s="8">
        <v>52</v>
      </c>
      <c r="G791" s="8">
        <v>65</v>
      </c>
      <c r="H791" s="8">
        <v>61</v>
      </c>
      <c r="I791">
        <f t="shared" si="36"/>
        <v>178</v>
      </c>
      <c r="J791">
        <f t="shared" si="37"/>
        <v>59.333333333333336</v>
      </c>
      <c r="K791" s="7" t="str">
        <f t="shared" si="38"/>
        <v>pass</v>
      </c>
    </row>
    <row r="792" spans="1:11" x14ac:dyDescent="0.25">
      <c r="A792" t="str">
        <f>PROPER(TRIM('raw data'!A792))</f>
        <v>Female</v>
      </c>
      <c r="B792" t="str">
        <f>PROPER(TRIM('raw data'!B792))</f>
        <v>Group B</v>
      </c>
      <c r="C792" s="7" t="str">
        <f>PROPER(TRIM('raw data'!C792))</f>
        <v>High School</v>
      </c>
      <c r="D792" s="7" t="str">
        <f>PROPER(TRIM('raw data'!D792))</f>
        <v>Standard</v>
      </c>
      <c r="E792" s="7" t="str">
        <f>PROPER(TRIM('raw data'!E792))</f>
        <v>None</v>
      </c>
      <c r="F792" s="8">
        <v>48</v>
      </c>
      <c r="G792" s="8">
        <v>62</v>
      </c>
      <c r="H792" s="8">
        <v>60</v>
      </c>
      <c r="I792">
        <f t="shared" si="36"/>
        <v>170</v>
      </c>
      <c r="J792">
        <f t="shared" si="37"/>
        <v>56.666666666666664</v>
      </c>
      <c r="K792" s="7" t="str">
        <f t="shared" si="38"/>
        <v>pass</v>
      </c>
    </row>
    <row r="793" spans="1:11" x14ac:dyDescent="0.25">
      <c r="A793" t="str">
        <f>PROPER(TRIM('raw data'!A793))</f>
        <v>Female</v>
      </c>
      <c r="B793" t="str">
        <f>PROPER(TRIM('raw data'!B793))</f>
        <v>Group D</v>
      </c>
      <c r="C793" s="7" t="str">
        <f>PROPER(TRIM('raw data'!C793))</f>
        <v>Some College</v>
      </c>
      <c r="D793" s="7" t="str">
        <f>PROPER(TRIM('raw data'!D793))</f>
        <v>Free/Reduced</v>
      </c>
      <c r="E793" s="7" t="str">
        <f>PROPER(TRIM('raw data'!E793))</f>
        <v>None</v>
      </c>
      <c r="F793" s="8">
        <v>60</v>
      </c>
      <c r="G793" s="8">
        <v>66</v>
      </c>
      <c r="H793" s="8">
        <v>70</v>
      </c>
      <c r="I793">
        <f t="shared" si="36"/>
        <v>196</v>
      </c>
      <c r="J793">
        <f t="shared" si="37"/>
        <v>65.333333333333329</v>
      </c>
      <c r="K793" s="7" t="str">
        <f t="shared" si="38"/>
        <v>pass</v>
      </c>
    </row>
    <row r="794" spans="1:11" x14ac:dyDescent="0.25">
      <c r="A794" t="str">
        <f>PROPER(TRIM('raw data'!A794))</f>
        <v>Male</v>
      </c>
      <c r="B794" t="str">
        <f>PROPER(TRIM('raw data'!B794))</f>
        <v>Group D</v>
      </c>
      <c r="C794" s="7" t="str">
        <f>PROPER(TRIM('raw data'!C794))</f>
        <v>High School</v>
      </c>
      <c r="D794" s="7" t="str">
        <f>PROPER(TRIM('raw data'!D794))</f>
        <v>Free/Reduced</v>
      </c>
      <c r="E794" s="7" t="str">
        <f>PROPER(TRIM('raw data'!E794))</f>
        <v>None</v>
      </c>
      <c r="F794" s="8">
        <v>66</v>
      </c>
      <c r="G794" s="8">
        <v>74</v>
      </c>
      <c r="H794" s="8">
        <v>69</v>
      </c>
      <c r="I794">
        <f t="shared" si="36"/>
        <v>209</v>
      </c>
      <c r="J794">
        <f t="shared" si="37"/>
        <v>69.666666666666671</v>
      </c>
      <c r="K794" s="7" t="str">
        <f t="shared" si="38"/>
        <v>pass</v>
      </c>
    </row>
    <row r="795" spans="1:11" x14ac:dyDescent="0.25">
      <c r="A795" t="str">
        <f>PROPER(TRIM('raw data'!A795))</f>
        <v>Male</v>
      </c>
      <c r="B795" t="str">
        <f>PROPER(TRIM('raw data'!B795))</f>
        <v>Group E</v>
      </c>
      <c r="C795" s="7" t="str">
        <f>PROPER(TRIM('raw data'!C795))</f>
        <v>Some High School</v>
      </c>
      <c r="D795" s="7" t="str">
        <f>PROPER(TRIM('raw data'!D795))</f>
        <v>Standard</v>
      </c>
      <c r="E795" s="7" t="str">
        <f>PROPER(TRIM('raw data'!E795))</f>
        <v>Completed</v>
      </c>
      <c r="F795" s="8">
        <v>89</v>
      </c>
      <c r="G795" s="8">
        <v>84</v>
      </c>
      <c r="H795" s="8">
        <v>77</v>
      </c>
      <c r="I795">
        <f t="shared" si="36"/>
        <v>250</v>
      </c>
      <c r="J795">
        <f t="shared" si="37"/>
        <v>83.333333333333329</v>
      </c>
      <c r="K795" s="7" t="str">
        <f t="shared" si="38"/>
        <v>pass</v>
      </c>
    </row>
    <row r="796" spans="1:11" x14ac:dyDescent="0.25">
      <c r="A796" t="str">
        <f>PROPER(TRIM('raw data'!A796))</f>
        <v>Female</v>
      </c>
      <c r="B796" t="str">
        <f>PROPER(TRIM('raw data'!B796))</f>
        <v>Group B</v>
      </c>
      <c r="C796" s="7" t="str">
        <f>PROPER(TRIM('raw data'!C796))</f>
        <v>High School</v>
      </c>
      <c r="D796" s="7" t="str">
        <f>PROPER(TRIM('raw data'!D796))</f>
        <v>Standard</v>
      </c>
      <c r="E796" s="7" t="str">
        <f>PROPER(TRIM('raw data'!E796))</f>
        <v>None</v>
      </c>
      <c r="F796" s="8">
        <v>42</v>
      </c>
      <c r="G796" s="8">
        <v>52</v>
      </c>
      <c r="H796" s="8">
        <v>51</v>
      </c>
      <c r="I796">
        <f t="shared" si="36"/>
        <v>145</v>
      </c>
      <c r="J796">
        <f t="shared" si="37"/>
        <v>48.333333333333336</v>
      </c>
      <c r="K796" s="7" t="str">
        <f t="shared" si="38"/>
        <v>pass</v>
      </c>
    </row>
    <row r="797" spans="1:11" x14ac:dyDescent="0.25">
      <c r="A797" t="str">
        <f>PROPER(TRIM('raw data'!A797))</f>
        <v>Female</v>
      </c>
      <c r="B797" t="str">
        <f>PROPER(TRIM('raw data'!B797))</f>
        <v>Group E</v>
      </c>
      <c r="C797" s="7" t="str">
        <f>PROPER(TRIM('raw data'!C797))</f>
        <v>Associate'S Degree</v>
      </c>
      <c r="D797" s="7" t="str">
        <f>PROPER(TRIM('raw data'!D797))</f>
        <v>Free/Reduced</v>
      </c>
      <c r="E797" s="7" t="str">
        <f>PROPER(TRIM('raw data'!E797))</f>
        <v>Completed</v>
      </c>
      <c r="F797" s="8">
        <v>57</v>
      </c>
      <c r="G797" s="8">
        <v>68</v>
      </c>
      <c r="H797" s="8">
        <v>73</v>
      </c>
      <c r="I797">
        <f t="shared" si="36"/>
        <v>198</v>
      </c>
      <c r="J797">
        <f t="shared" si="37"/>
        <v>66</v>
      </c>
      <c r="K797" s="7" t="str">
        <f t="shared" si="38"/>
        <v>pass</v>
      </c>
    </row>
    <row r="798" spans="1:11" x14ac:dyDescent="0.25">
      <c r="A798" t="str">
        <f>PROPER(TRIM('raw data'!A798))</f>
        <v>Male</v>
      </c>
      <c r="B798" t="str">
        <f>PROPER(TRIM('raw data'!B798))</f>
        <v>Group D</v>
      </c>
      <c r="C798" s="7" t="str">
        <f>PROPER(TRIM('raw data'!C798))</f>
        <v>High School</v>
      </c>
      <c r="D798" s="7" t="str">
        <f>PROPER(TRIM('raw data'!D798))</f>
        <v>Standard</v>
      </c>
      <c r="E798" s="7" t="str">
        <f>PROPER(TRIM('raw data'!E798))</f>
        <v>None</v>
      </c>
      <c r="F798" s="8">
        <v>70</v>
      </c>
      <c r="G798" s="8">
        <v>70</v>
      </c>
      <c r="H798" s="8">
        <v>70</v>
      </c>
      <c r="I798">
        <f t="shared" si="36"/>
        <v>210</v>
      </c>
      <c r="J798">
        <f t="shared" si="37"/>
        <v>70</v>
      </c>
      <c r="K798" s="7" t="str">
        <f t="shared" si="38"/>
        <v>pass</v>
      </c>
    </row>
    <row r="799" spans="1:11" x14ac:dyDescent="0.25">
      <c r="A799" t="str">
        <f>PROPER(TRIM('raw data'!A799))</f>
        <v>Female</v>
      </c>
      <c r="B799" t="str">
        <f>PROPER(TRIM('raw data'!B799))</f>
        <v>Group E</v>
      </c>
      <c r="C799" s="7" t="str">
        <f>PROPER(TRIM('raw data'!C799))</f>
        <v>Associate'S Degree</v>
      </c>
      <c r="D799" s="7" t="str">
        <f>PROPER(TRIM('raw data'!D799))</f>
        <v>Free/Reduced</v>
      </c>
      <c r="E799" s="7" t="str">
        <f>PROPER(TRIM('raw data'!E799))</f>
        <v>None</v>
      </c>
      <c r="F799" s="8">
        <v>70</v>
      </c>
      <c r="G799" s="8">
        <v>84</v>
      </c>
      <c r="H799" s="8">
        <v>81</v>
      </c>
      <c r="I799">
        <f t="shared" si="36"/>
        <v>235</v>
      </c>
      <c r="J799">
        <f t="shared" si="37"/>
        <v>78.333333333333329</v>
      </c>
      <c r="K799" s="7" t="str">
        <f t="shared" si="38"/>
        <v>pass</v>
      </c>
    </row>
    <row r="800" spans="1:11" x14ac:dyDescent="0.25">
      <c r="A800" t="str">
        <f>PROPER(TRIM('raw data'!A800))</f>
        <v>Male</v>
      </c>
      <c r="B800" t="str">
        <f>PROPER(TRIM('raw data'!B800))</f>
        <v>Group E</v>
      </c>
      <c r="C800" s="7" t="str">
        <f>PROPER(TRIM('raw data'!C800))</f>
        <v>Some College</v>
      </c>
      <c r="D800" s="7" t="str">
        <f>PROPER(TRIM('raw data'!D800))</f>
        <v>Standard</v>
      </c>
      <c r="E800" s="7" t="str">
        <f>PROPER(TRIM('raw data'!E800))</f>
        <v>None</v>
      </c>
      <c r="F800" s="8">
        <v>69</v>
      </c>
      <c r="G800" s="8">
        <v>60</v>
      </c>
      <c r="H800" s="8">
        <v>54</v>
      </c>
      <c r="I800">
        <f t="shared" si="36"/>
        <v>183</v>
      </c>
      <c r="J800">
        <f t="shared" si="37"/>
        <v>61</v>
      </c>
      <c r="K800" s="7" t="str">
        <f t="shared" si="38"/>
        <v>pass</v>
      </c>
    </row>
    <row r="801" spans="1:11" x14ac:dyDescent="0.25">
      <c r="A801" t="str">
        <f>PROPER(TRIM('raw data'!A801))</f>
        <v>Female</v>
      </c>
      <c r="B801" t="str">
        <f>PROPER(TRIM('raw data'!B801))</f>
        <v>Group C</v>
      </c>
      <c r="C801" s="7" t="str">
        <f>PROPER(TRIM('raw data'!C801))</f>
        <v>Associate'S Degree</v>
      </c>
      <c r="D801" s="7" t="str">
        <f>PROPER(TRIM('raw data'!D801))</f>
        <v>Standard</v>
      </c>
      <c r="E801" s="7" t="str">
        <f>PROPER(TRIM('raw data'!E801))</f>
        <v>None</v>
      </c>
      <c r="F801" s="8">
        <v>52</v>
      </c>
      <c r="G801" s="8">
        <v>55</v>
      </c>
      <c r="H801" s="8">
        <v>57</v>
      </c>
      <c r="I801">
        <f t="shared" si="36"/>
        <v>164</v>
      </c>
      <c r="J801">
        <f t="shared" si="37"/>
        <v>54.666666666666664</v>
      </c>
      <c r="K801" s="7" t="str">
        <f t="shared" si="38"/>
        <v>pass</v>
      </c>
    </row>
    <row r="802" spans="1:11" x14ac:dyDescent="0.25">
      <c r="A802" t="str">
        <f>PROPER(TRIM('raw data'!A802))</f>
        <v>Male</v>
      </c>
      <c r="B802" t="str">
        <f>PROPER(TRIM('raw data'!B802))</f>
        <v>Group C</v>
      </c>
      <c r="C802" s="7" t="str">
        <f>PROPER(TRIM('raw data'!C802))</f>
        <v>Some High School</v>
      </c>
      <c r="D802" s="7" t="str">
        <f>PROPER(TRIM('raw data'!D802))</f>
        <v>Standard</v>
      </c>
      <c r="E802" s="7" t="str">
        <f>PROPER(TRIM('raw data'!E802))</f>
        <v>Completed</v>
      </c>
      <c r="F802" s="8">
        <v>67</v>
      </c>
      <c r="G802" s="8">
        <v>73</v>
      </c>
      <c r="H802" s="8">
        <v>68</v>
      </c>
      <c r="I802">
        <f t="shared" si="36"/>
        <v>208</v>
      </c>
      <c r="J802">
        <f t="shared" si="37"/>
        <v>69.333333333333329</v>
      </c>
      <c r="K802" s="7" t="str">
        <f t="shared" si="38"/>
        <v>pass</v>
      </c>
    </row>
    <row r="803" spans="1:11" x14ac:dyDescent="0.25">
      <c r="A803" t="str">
        <f>PROPER(TRIM('raw data'!A803))</f>
        <v>Male</v>
      </c>
      <c r="B803" t="str">
        <f>PROPER(TRIM('raw data'!B803))</f>
        <v>Group C</v>
      </c>
      <c r="C803" s="7" t="str">
        <f>PROPER(TRIM('raw data'!C803))</f>
        <v>Some High School</v>
      </c>
      <c r="D803" s="7" t="str">
        <f>PROPER(TRIM('raw data'!D803))</f>
        <v>Standard</v>
      </c>
      <c r="E803" s="7" t="str">
        <f>PROPER(TRIM('raw data'!E803))</f>
        <v>Completed</v>
      </c>
      <c r="F803" s="8">
        <v>76</v>
      </c>
      <c r="G803" s="8">
        <v>80</v>
      </c>
      <c r="H803" s="8">
        <v>73</v>
      </c>
      <c r="I803">
        <f t="shared" si="36"/>
        <v>229</v>
      </c>
      <c r="J803">
        <f t="shared" si="37"/>
        <v>76.333333333333329</v>
      </c>
      <c r="K803" s="7" t="str">
        <f t="shared" si="38"/>
        <v>pass</v>
      </c>
    </row>
    <row r="804" spans="1:11" x14ac:dyDescent="0.25">
      <c r="A804" t="str">
        <f>PROPER(TRIM('raw data'!A804))</f>
        <v>Female</v>
      </c>
      <c r="B804" t="str">
        <f>PROPER(TRIM('raw data'!B804))</f>
        <v>Group E</v>
      </c>
      <c r="C804" s="7" t="str">
        <f>PROPER(TRIM('raw data'!C804))</f>
        <v>Associate'S Degree</v>
      </c>
      <c r="D804" s="7" t="str">
        <f>PROPER(TRIM('raw data'!D804))</f>
        <v>Standard</v>
      </c>
      <c r="E804" s="7" t="str">
        <f>PROPER(TRIM('raw data'!E804))</f>
        <v>None</v>
      </c>
      <c r="F804" s="8">
        <v>87</v>
      </c>
      <c r="G804" s="8">
        <v>94</v>
      </c>
      <c r="H804" s="8">
        <v>95</v>
      </c>
      <c r="I804">
        <f t="shared" si="36"/>
        <v>276</v>
      </c>
      <c r="J804">
        <f t="shared" si="37"/>
        <v>92</v>
      </c>
      <c r="K804" s="7" t="str">
        <f t="shared" si="38"/>
        <v>pass</v>
      </c>
    </row>
    <row r="805" spans="1:11" x14ac:dyDescent="0.25">
      <c r="A805" t="str">
        <f>PROPER(TRIM('raw data'!A805))</f>
        <v>Female</v>
      </c>
      <c r="B805" t="str">
        <f>PROPER(TRIM('raw data'!B805))</f>
        <v>Group B</v>
      </c>
      <c r="C805" s="7" t="str">
        <f>PROPER(TRIM('raw data'!C805))</f>
        <v>Some College</v>
      </c>
      <c r="D805" s="7" t="str">
        <f>PROPER(TRIM('raw data'!D805))</f>
        <v>Standard</v>
      </c>
      <c r="E805" s="7" t="str">
        <f>PROPER(TRIM('raw data'!E805))</f>
        <v>None</v>
      </c>
      <c r="F805" s="8">
        <v>82</v>
      </c>
      <c r="G805" s="8">
        <v>85</v>
      </c>
      <c r="H805" s="8">
        <v>87</v>
      </c>
      <c r="I805">
        <f t="shared" si="36"/>
        <v>254</v>
      </c>
      <c r="J805">
        <f t="shared" si="37"/>
        <v>84.666666666666671</v>
      </c>
      <c r="K805" s="7" t="str">
        <f t="shared" si="38"/>
        <v>pass</v>
      </c>
    </row>
    <row r="806" spans="1:11" x14ac:dyDescent="0.25">
      <c r="A806" t="str">
        <f>PROPER(TRIM('raw data'!A806))</f>
        <v>Female</v>
      </c>
      <c r="B806" t="str">
        <f>PROPER(TRIM('raw data'!B806))</f>
        <v>Group C</v>
      </c>
      <c r="C806" s="7" t="str">
        <f>PROPER(TRIM('raw data'!C806))</f>
        <v>Some College</v>
      </c>
      <c r="D806" s="7" t="str">
        <f>PROPER(TRIM('raw data'!D806))</f>
        <v>Standard</v>
      </c>
      <c r="E806" s="7" t="str">
        <f>PROPER(TRIM('raw data'!E806))</f>
        <v>None</v>
      </c>
      <c r="F806" s="8">
        <v>73</v>
      </c>
      <c r="G806" s="8">
        <v>76</v>
      </c>
      <c r="H806" s="8">
        <v>78</v>
      </c>
      <c r="I806">
        <f t="shared" si="36"/>
        <v>227</v>
      </c>
      <c r="J806">
        <f t="shared" si="37"/>
        <v>75.666666666666671</v>
      </c>
      <c r="K806" s="7" t="str">
        <f t="shared" si="38"/>
        <v>pass</v>
      </c>
    </row>
    <row r="807" spans="1:11" x14ac:dyDescent="0.25">
      <c r="A807" t="str">
        <f>PROPER(TRIM('raw data'!A807))</f>
        <v>Male</v>
      </c>
      <c r="B807" t="str">
        <f>PROPER(TRIM('raw data'!B807))</f>
        <v>Group A</v>
      </c>
      <c r="C807" s="7" t="str">
        <f>PROPER(TRIM('raw data'!C807))</f>
        <v>Some College</v>
      </c>
      <c r="D807" s="7" t="str">
        <f>PROPER(TRIM('raw data'!D807))</f>
        <v>Free/Reduced</v>
      </c>
      <c r="E807" s="7" t="str">
        <f>PROPER(TRIM('raw data'!E807))</f>
        <v>None</v>
      </c>
      <c r="F807" s="8">
        <v>75</v>
      </c>
      <c r="G807" s="8">
        <v>81</v>
      </c>
      <c r="H807" s="8">
        <v>74</v>
      </c>
      <c r="I807">
        <f t="shared" si="36"/>
        <v>230</v>
      </c>
      <c r="J807">
        <f t="shared" si="37"/>
        <v>76.666666666666671</v>
      </c>
      <c r="K807" s="7" t="str">
        <f t="shared" si="38"/>
        <v>pass</v>
      </c>
    </row>
    <row r="808" spans="1:11" x14ac:dyDescent="0.25">
      <c r="A808" t="str">
        <f>PROPER(TRIM('raw data'!A808))</f>
        <v>Female</v>
      </c>
      <c r="B808" t="str">
        <f>PROPER(TRIM('raw data'!B808))</f>
        <v>Group D</v>
      </c>
      <c r="C808" s="7" t="str">
        <f>PROPER(TRIM('raw data'!C808))</f>
        <v>Some College</v>
      </c>
      <c r="D808" s="7" t="str">
        <f>PROPER(TRIM('raw data'!D808))</f>
        <v>Free/Reduced</v>
      </c>
      <c r="E808" s="7" t="str">
        <f>PROPER(TRIM('raw data'!E808))</f>
        <v>None</v>
      </c>
      <c r="F808" s="8">
        <v>64</v>
      </c>
      <c r="G808" s="8">
        <v>74</v>
      </c>
      <c r="H808" s="8">
        <v>75</v>
      </c>
      <c r="I808">
        <f t="shared" si="36"/>
        <v>213</v>
      </c>
      <c r="J808">
        <f t="shared" si="37"/>
        <v>71</v>
      </c>
      <c r="K808" s="7" t="str">
        <f t="shared" si="38"/>
        <v>pass</v>
      </c>
    </row>
    <row r="809" spans="1:11" x14ac:dyDescent="0.25">
      <c r="A809" t="str">
        <f>PROPER(TRIM('raw data'!A809))</f>
        <v>Female</v>
      </c>
      <c r="B809" t="str">
        <f>PROPER(TRIM('raw data'!B809))</f>
        <v>Group E</v>
      </c>
      <c r="C809" s="7" t="str">
        <f>PROPER(TRIM('raw data'!C809))</f>
        <v>High School</v>
      </c>
      <c r="D809" s="7" t="str">
        <f>PROPER(TRIM('raw data'!D809))</f>
        <v>Free/Reduced</v>
      </c>
      <c r="E809" s="7" t="str">
        <f>PROPER(TRIM('raw data'!E809))</f>
        <v>None</v>
      </c>
      <c r="F809" s="8">
        <v>41</v>
      </c>
      <c r="G809" s="8">
        <v>45</v>
      </c>
      <c r="H809" s="8">
        <v>40</v>
      </c>
      <c r="I809">
        <f t="shared" si="36"/>
        <v>126</v>
      </c>
      <c r="J809">
        <f t="shared" si="37"/>
        <v>42</v>
      </c>
      <c r="K809" s="7" t="str">
        <f t="shared" si="38"/>
        <v>pass</v>
      </c>
    </row>
    <row r="810" spans="1:11" x14ac:dyDescent="0.25">
      <c r="A810" t="str">
        <f>PROPER(TRIM('raw data'!A810))</f>
        <v>Male</v>
      </c>
      <c r="B810" t="str">
        <f>PROPER(TRIM('raw data'!B810))</f>
        <v>Group C</v>
      </c>
      <c r="C810" s="7" t="str">
        <f>PROPER(TRIM('raw data'!C810))</f>
        <v>High School</v>
      </c>
      <c r="D810" s="7" t="str">
        <f>PROPER(TRIM('raw data'!D810))</f>
        <v>Standard</v>
      </c>
      <c r="E810" s="7" t="str">
        <f>PROPER(TRIM('raw data'!E810))</f>
        <v>None</v>
      </c>
      <c r="F810" s="8">
        <v>90</v>
      </c>
      <c r="G810" s="8">
        <v>75</v>
      </c>
      <c r="H810" s="8">
        <v>69</v>
      </c>
      <c r="I810">
        <f t="shared" si="36"/>
        <v>234</v>
      </c>
      <c r="J810">
        <f t="shared" si="37"/>
        <v>78</v>
      </c>
      <c r="K810" s="7" t="str">
        <f t="shared" si="38"/>
        <v>pass</v>
      </c>
    </row>
    <row r="811" spans="1:11" x14ac:dyDescent="0.25">
      <c r="A811" t="str">
        <f>PROPER(TRIM('raw data'!A811))</f>
        <v>Male</v>
      </c>
      <c r="B811" t="str">
        <f>PROPER(TRIM('raw data'!B811))</f>
        <v>Group B</v>
      </c>
      <c r="C811" s="7" t="str">
        <f>PROPER(TRIM('raw data'!C811))</f>
        <v>Bachelor'S Degree</v>
      </c>
      <c r="D811" s="7" t="str">
        <f>PROPER(TRIM('raw data'!D811))</f>
        <v>Standard</v>
      </c>
      <c r="E811" s="7" t="str">
        <f>PROPER(TRIM('raw data'!E811))</f>
        <v>None</v>
      </c>
      <c r="F811" s="8">
        <v>59</v>
      </c>
      <c r="G811" s="8">
        <v>54</v>
      </c>
      <c r="H811" s="8">
        <v>51</v>
      </c>
      <c r="I811">
        <f t="shared" si="36"/>
        <v>164</v>
      </c>
      <c r="J811">
        <f t="shared" si="37"/>
        <v>54.666666666666664</v>
      </c>
      <c r="K811" s="7" t="str">
        <f t="shared" si="38"/>
        <v>pass</v>
      </c>
    </row>
    <row r="812" spans="1:11" x14ac:dyDescent="0.25">
      <c r="A812" t="str">
        <f>PROPER(TRIM('raw data'!A812))</f>
        <v>Male</v>
      </c>
      <c r="B812" t="str">
        <f>PROPER(TRIM('raw data'!B812))</f>
        <v>Group A</v>
      </c>
      <c r="C812" s="7" t="str">
        <f>PROPER(TRIM('raw data'!C812))</f>
        <v>Some High School</v>
      </c>
      <c r="D812" s="7" t="str">
        <f>PROPER(TRIM('raw data'!D812))</f>
        <v>Standard</v>
      </c>
      <c r="E812" s="7" t="str">
        <f>PROPER(TRIM('raw data'!E812))</f>
        <v>None</v>
      </c>
      <c r="F812" s="8">
        <v>51</v>
      </c>
      <c r="G812" s="8">
        <v>31</v>
      </c>
      <c r="H812" s="8">
        <v>36</v>
      </c>
      <c r="I812">
        <f t="shared" si="36"/>
        <v>118</v>
      </c>
      <c r="J812">
        <f t="shared" si="37"/>
        <v>39.333333333333336</v>
      </c>
      <c r="K812" s="7" t="str">
        <f t="shared" si="38"/>
        <v>fail</v>
      </c>
    </row>
    <row r="813" spans="1:11" x14ac:dyDescent="0.25">
      <c r="A813" t="str">
        <f>PROPER(TRIM('raw data'!A813))</f>
        <v>Male</v>
      </c>
      <c r="B813" t="str">
        <f>PROPER(TRIM('raw data'!B813))</f>
        <v>Group A</v>
      </c>
      <c r="C813" s="7" t="str">
        <f>PROPER(TRIM('raw data'!C813))</f>
        <v>High School</v>
      </c>
      <c r="D813" s="7" t="str">
        <f>PROPER(TRIM('raw data'!D813))</f>
        <v>Free/Reduced</v>
      </c>
      <c r="E813" s="7" t="str">
        <f>PROPER(TRIM('raw data'!E813))</f>
        <v>None</v>
      </c>
      <c r="F813" s="8">
        <v>45</v>
      </c>
      <c r="G813" s="8">
        <v>47</v>
      </c>
      <c r="H813" s="8">
        <v>49</v>
      </c>
      <c r="I813">
        <f t="shared" si="36"/>
        <v>141</v>
      </c>
      <c r="J813">
        <f t="shared" si="37"/>
        <v>47</v>
      </c>
      <c r="K813" s="7" t="str">
        <f t="shared" si="38"/>
        <v>pass</v>
      </c>
    </row>
    <row r="814" spans="1:11" x14ac:dyDescent="0.25">
      <c r="A814" t="str">
        <f>PROPER(TRIM('raw data'!A814))</f>
        <v>Female</v>
      </c>
      <c r="B814" t="str">
        <f>PROPER(TRIM('raw data'!B814))</f>
        <v>Group C</v>
      </c>
      <c r="C814" s="7" t="str">
        <f>PROPER(TRIM('raw data'!C814))</f>
        <v>Master'S Degree</v>
      </c>
      <c r="D814" s="7" t="str">
        <f>PROPER(TRIM('raw data'!D814))</f>
        <v>Standard</v>
      </c>
      <c r="E814" s="7" t="str">
        <f>PROPER(TRIM('raw data'!E814))</f>
        <v>Completed</v>
      </c>
      <c r="F814" s="8">
        <v>54</v>
      </c>
      <c r="G814" s="8">
        <v>64</v>
      </c>
      <c r="H814" s="8">
        <v>67</v>
      </c>
      <c r="I814">
        <f t="shared" si="36"/>
        <v>185</v>
      </c>
      <c r="J814">
        <f t="shared" si="37"/>
        <v>61.666666666666664</v>
      </c>
      <c r="K814" s="7" t="str">
        <f t="shared" si="38"/>
        <v>pass</v>
      </c>
    </row>
    <row r="815" spans="1:11" x14ac:dyDescent="0.25">
      <c r="A815" t="str">
        <f>PROPER(TRIM('raw data'!A815))</f>
        <v>Male</v>
      </c>
      <c r="B815" t="str">
        <f>PROPER(TRIM('raw data'!B815))</f>
        <v>Group E</v>
      </c>
      <c r="C815" s="7" t="str">
        <f>PROPER(TRIM('raw data'!C815))</f>
        <v>Some High School</v>
      </c>
      <c r="D815" s="7" t="str">
        <f>PROPER(TRIM('raw data'!D815))</f>
        <v>Standard</v>
      </c>
      <c r="E815" s="7" t="str">
        <f>PROPER(TRIM('raw data'!E815))</f>
        <v>Completed</v>
      </c>
      <c r="F815" s="8">
        <v>87</v>
      </c>
      <c r="G815" s="8">
        <v>84</v>
      </c>
      <c r="H815" s="8">
        <v>76</v>
      </c>
      <c r="I815">
        <f t="shared" si="36"/>
        <v>247</v>
      </c>
      <c r="J815">
        <f t="shared" si="37"/>
        <v>82.333333333333329</v>
      </c>
      <c r="K815" s="7" t="str">
        <f t="shared" si="38"/>
        <v>pass</v>
      </c>
    </row>
    <row r="816" spans="1:11" x14ac:dyDescent="0.25">
      <c r="A816" t="str">
        <f>PROPER(TRIM('raw data'!A816))</f>
        <v>Female</v>
      </c>
      <c r="B816" t="str">
        <f>PROPER(TRIM('raw data'!B816))</f>
        <v>Group C</v>
      </c>
      <c r="C816" s="7" t="str">
        <f>PROPER(TRIM('raw data'!C816))</f>
        <v>High School</v>
      </c>
      <c r="D816" s="7" t="str">
        <f>PROPER(TRIM('raw data'!D816))</f>
        <v>Standard</v>
      </c>
      <c r="E816" s="7" t="str">
        <f>PROPER(TRIM('raw data'!E816))</f>
        <v>None</v>
      </c>
      <c r="F816" s="8">
        <v>72</v>
      </c>
      <c r="G816" s="8">
        <v>80</v>
      </c>
      <c r="H816" s="8">
        <v>83</v>
      </c>
      <c r="I816">
        <f t="shared" si="36"/>
        <v>235</v>
      </c>
      <c r="J816">
        <f t="shared" si="37"/>
        <v>78.333333333333329</v>
      </c>
      <c r="K816" s="7" t="str">
        <f t="shared" si="38"/>
        <v>pass</v>
      </c>
    </row>
    <row r="817" spans="1:11" x14ac:dyDescent="0.25">
      <c r="A817" t="str">
        <f>PROPER(TRIM('raw data'!A817))</f>
        <v>Male</v>
      </c>
      <c r="B817" t="str">
        <f>PROPER(TRIM('raw data'!B817))</f>
        <v>Group B</v>
      </c>
      <c r="C817" s="7" t="str">
        <f>PROPER(TRIM('raw data'!C817))</f>
        <v>Some High School</v>
      </c>
      <c r="D817" s="7" t="str">
        <f>PROPER(TRIM('raw data'!D817))</f>
        <v>Standard</v>
      </c>
      <c r="E817" s="7" t="str">
        <f>PROPER(TRIM('raw data'!E817))</f>
        <v>Completed</v>
      </c>
      <c r="F817" s="8">
        <v>94</v>
      </c>
      <c r="G817" s="8">
        <v>86</v>
      </c>
      <c r="H817" s="8">
        <v>87</v>
      </c>
      <c r="I817">
        <f t="shared" si="36"/>
        <v>267</v>
      </c>
      <c r="J817">
        <f t="shared" si="37"/>
        <v>89</v>
      </c>
      <c r="K817" s="7" t="str">
        <f t="shared" si="38"/>
        <v>pass</v>
      </c>
    </row>
    <row r="818" spans="1:11" x14ac:dyDescent="0.25">
      <c r="A818" t="str">
        <f>PROPER(TRIM('raw data'!A818))</f>
        <v>Female</v>
      </c>
      <c r="B818" t="str">
        <f>PROPER(TRIM('raw data'!B818))</f>
        <v>Group A</v>
      </c>
      <c r="C818" s="7" t="str">
        <f>PROPER(TRIM('raw data'!C818))</f>
        <v>Bachelor'S Degree</v>
      </c>
      <c r="D818" s="7" t="str">
        <f>PROPER(TRIM('raw data'!D818))</f>
        <v>Standard</v>
      </c>
      <c r="E818" s="7" t="str">
        <f>PROPER(TRIM('raw data'!E818))</f>
        <v>None</v>
      </c>
      <c r="F818" s="8">
        <v>45</v>
      </c>
      <c r="G818" s="8">
        <v>59</v>
      </c>
      <c r="H818" s="8">
        <v>64</v>
      </c>
      <c r="I818">
        <f t="shared" si="36"/>
        <v>168</v>
      </c>
      <c r="J818">
        <f t="shared" si="37"/>
        <v>56</v>
      </c>
      <c r="K818" s="7" t="str">
        <f t="shared" si="38"/>
        <v>pass</v>
      </c>
    </row>
    <row r="819" spans="1:11" x14ac:dyDescent="0.25">
      <c r="A819" t="str">
        <f>PROPER(TRIM('raw data'!A819))</f>
        <v>Male</v>
      </c>
      <c r="B819" t="str">
        <f>PROPER(TRIM('raw data'!B819))</f>
        <v>Group D</v>
      </c>
      <c r="C819" s="7" t="str">
        <f>PROPER(TRIM('raw data'!C819))</f>
        <v>Bachelor'S Degree</v>
      </c>
      <c r="D819" s="7" t="str">
        <f>PROPER(TRIM('raw data'!D819))</f>
        <v>Free/Reduced</v>
      </c>
      <c r="E819" s="7" t="str">
        <f>PROPER(TRIM('raw data'!E819))</f>
        <v>Completed</v>
      </c>
      <c r="F819" s="8">
        <v>61</v>
      </c>
      <c r="G819" s="8">
        <v>70</v>
      </c>
      <c r="H819" s="8">
        <v>76</v>
      </c>
      <c r="I819">
        <f t="shared" si="36"/>
        <v>207</v>
      </c>
      <c r="J819">
        <f t="shared" si="37"/>
        <v>69</v>
      </c>
      <c r="K819" s="7" t="str">
        <f t="shared" si="38"/>
        <v>pass</v>
      </c>
    </row>
    <row r="820" spans="1:11" x14ac:dyDescent="0.25">
      <c r="A820" t="str">
        <f>PROPER(TRIM('raw data'!A820))</f>
        <v>Female</v>
      </c>
      <c r="B820" t="str">
        <f>PROPER(TRIM('raw data'!B820))</f>
        <v>Group B</v>
      </c>
      <c r="C820" s="7" t="str">
        <f>PROPER(TRIM('raw data'!C820))</f>
        <v>High School</v>
      </c>
      <c r="D820" s="7" t="str">
        <f>PROPER(TRIM('raw data'!D820))</f>
        <v>Free/Reduced</v>
      </c>
      <c r="E820" s="7" t="str">
        <f>PROPER(TRIM('raw data'!E820))</f>
        <v>None</v>
      </c>
      <c r="F820" s="8">
        <v>60</v>
      </c>
      <c r="G820" s="8">
        <v>72</v>
      </c>
      <c r="H820" s="8">
        <v>68</v>
      </c>
      <c r="I820">
        <f t="shared" si="36"/>
        <v>200</v>
      </c>
      <c r="J820">
        <f t="shared" si="37"/>
        <v>66.666666666666671</v>
      </c>
      <c r="K820" s="7" t="str">
        <f t="shared" si="38"/>
        <v>pass</v>
      </c>
    </row>
    <row r="821" spans="1:11" x14ac:dyDescent="0.25">
      <c r="A821" t="str">
        <f>PROPER(TRIM('raw data'!A821))</f>
        <v>Female</v>
      </c>
      <c r="B821" t="str">
        <f>PROPER(TRIM('raw data'!B821))</f>
        <v>Group C</v>
      </c>
      <c r="C821" s="7" t="str">
        <f>PROPER(TRIM('raw data'!C821))</f>
        <v>Some High School</v>
      </c>
      <c r="D821" s="7" t="str">
        <f>PROPER(TRIM('raw data'!D821))</f>
        <v>Standard</v>
      </c>
      <c r="E821" s="7" t="str">
        <f>PROPER(TRIM('raw data'!E821))</f>
        <v>None</v>
      </c>
      <c r="F821" s="8">
        <v>77</v>
      </c>
      <c r="G821" s="8">
        <v>91</v>
      </c>
      <c r="H821" s="8">
        <v>88</v>
      </c>
      <c r="I821">
        <f t="shared" si="36"/>
        <v>256</v>
      </c>
      <c r="J821">
        <f t="shared" si="37"/>
        <v>85.333333333333329</v>
      </c>
      <c r="K821" s="7" t="str">
        <f t="shared" si="38"/>
        <v>pass</v>
      </c>
    </row>
    <row r="822" spans="1:11" x14ac:dyDescent="0.25">
      <c r="A822" t="str">
        <f>PROPER(TRIM('raw data'!A822))</f>
        <v>Female</v>
      </c>
      <c r="B822" t="str">
        <f>PROPER(TRIM('raw data'!B822))</f>
        <v>Group A</v>
      </c>
      <c r="C822" s="7" t="str">
        <f>PROPER(TRIM('raw data'!C822))</f>
        <v>Some High School</v>
      </c>
      <c r="D822" s="7" t="str">
        <f>PROPER(TRIM('raw data'!D822))</f>
        <v>Standard</v>
      </c>
      <c r="E822" s="7" t="str">
        <f>PROPER(TRIM('raw data'!E822))</f>
        <v>Completed</v>
      </c>
      <c r="F822" s="8">
        <v>85</v>
      </c>
      <c r="G822" s="8">
        <v>90</v>
      </c>
      <c r="H822" s="8">
        <v>92</v>
      </c>
      <c r="I822">
        <f t="shared" si="36"/>
        <v>267</v>
      </c>
      <c r="J822">
        <f t="shared" si="37"/>
        <v>89</v>
      </c>
      <c r="K822" s="7" t="str">
        <f t="shared" si="38"/>
        <v>pass</v>
      </c>
    </row>
    <row r="823" spans="1:11" x14ac:dyDescent="0.25">
      <c r="A823" t="str">
        <f>PROPER(TRIM('raw data'!A823))</f>
        <v>Female</v>
      </c>
      <c r="B823" t="str">
        <f>PROPER(TRIM('raw data'!B823))</f>
        <v>Group D</v>
      </c>
      <c r="C823" s="7" t="str">
        <f>PROPER(TRIM('raw data'!C823))</f>
        <v>Bachelor'S Degree</v>
      </c>
      <c r="D823" s="7" t="str">
        <f>PROPER(TRIM('raw data'!D823))</f>
        <v>Free/Reduced</v>
      </c>
      <c r="E823" s="7" t="str">
        <f>PROPER(TRIM('raw data'!E823))</f>
        <v>None</v>
      </c>
      <c r="F823" s="8">
        <v>78</v>
      </c>
      <c r="G823" s="8">
        <v>90</v>
      </c>
      <c r="H823" s="8">
        <v>93</v>
      </c>
      <c r="I823">
        <f t="shared" si="36"/>
        <v>261</v>
      </c>
      <c r="J823">
        <f t="shared" si="37"/>
        <v>87</v>
      </c>
      <c r="K823" s="7" t="str">
        <f t="shared" si="38"/>
        <v>pass</v>
      </c>
    </row>
    <row r="824" spans="1:11" x14ac:dyDescent="0.25">
      <c r="A824" t="str">
        <f>PROPER(TRIM('raw data'!A824))</f>
        <v>Male</v>
      </c>
      <c r="B824" t="str">
        <f>PROPER(TRIM('raw data'!B824))</f>
        <v>Group E</v>
      </c>
      <c r="C824" s="7" t="str">
        <f>PROPER(TRIM('raw data'!C824))</f>
        <v>Some College</v>
      </c>
      <c r="D824" s="7" t="str">
        <f>PROPER(TRIM('raw data'!D824))</f>
        <v>Free/Reduced</v>
      </c>
      <c r="E824" s="7" t="str">
        <f>PROPER(TRIM('raw data'!E824))</f>
        <v>Completed</v>
      </c>
      <c r="F824" s="8">
        <v>49</v>
      </c>
      <c r="G824" s="8">
        <v>52</v>
      </c>
      <c r="H824" s="8">
        <v>51</v>
      </c>
      <c r="I824">
        <f t="shared" si="36"/>
        <v>152</v>
      </c>
      <c r="J824">
        <f t="shared" si="37"/>
        <v>50.666666666666664</v>
      </c>
      <c r="K824" s="7" t="str">
        <f t="shared" si="38"/>
        <v>pass</v>
      </c>
    </row>
    <row r="825" spans="1:11" x14ac:dyDescent="0.25">
      <c r="A825" t="str">
        <f>PROPER(TRIM('raw data'!A825))</f>
        <v>Female</v>
      </c>
      <c r="B825" t="str">
        <f>PROPER(TRIM('raw data'!B825))</f>
        <v>Group B</v>
      </c>
      <c r="C825" s="7" t="str">
        <f>PROPER(TRIM('raw data'!C825))</f>
        <v>High School</v>
      </c>
      <c r="D825" s="7" t="str">
        <f>PROPER(TRIM('raw data'!D825))</f>
        <v>Free/Reduced</v>
      </c>
      <c r="E825" s="7" t="str">
        <f>PROPER(TRIM('raw data'!E825))</f>
        <v>None</v>
      </c>
      <c r="F825" s="8">
        <v>71</v>
      </c>
      <c r="G825" s="8">
        <v>87</v>
      </c>
      <c r="H825" s="8">
        <v>82</v>
      </c>
      <c r="I825">
        <f t="shared" si="36"/>
        <v>240</v>
      </c>
      <c r="J825">
        <f t="shared" si="37"/>
        <v>80</v>
      </c>
      <c r="K825" s="7" t="str">
        <f t="shared" si="38"/>
        <v>pass</v>
      </c>
    </row>
    <row r="826" spans="1:11" x14ac:dyDescent="0.25">
      <c r="A826" t="str">
        <f>PROPER(TRIM('raw data'!A826))</f>
        <v>Female</v>
      </c>
      <c r="B826" t="str">
        <f>PROPER(TRIM('raw data'!B826))</f>
        <v>Group C</v>
      </c>
      <c r="C826" s="7" t="str">
        <f>PROPER(TRIM('raw data'!C826))</f>
        <v>Some High School</v>
      </c>
      <c r="D826" s="7" t="str">
        <f>PROPER(TRIM('raw data'!D826))</f>
        <v>Free/Reduced</v>
      </c>
      <c r="E826" s="7" t="str">
        <f>PROPER(TRIM('raw data'!E826))</f>
        <v>None</v>
      </c>
      <c r="F826" s="8">
        <v>48</v>
      </c>
      <c r="G826" s="8">
        <v>58</v>
      </c>
      <c r="H826" s="8">
        <v>52</v>
      </c>
      <c r="I826">
        <f t="shared" si="36"/>
        <v>158</v>
      </c>
      <c r="J826">
        <f t="shared" si="37"/>
        <v>52.666666666666664</v>
      </c>
      <c r="K826" s="7" t="str">
        <f t="shared" si="38"/>
        <v>pass</v>
      </c>
    </row>
    <row r="827" spans="1:11" x14ac:dyDescent="0.25">
      <c r="A827" t="str">
        <f>PROPER(TRIM('raw data'!A827))</f>
        <v>Male</v>
      </c>
      <c r="B827" t="str">
        <f>PROPER(TRIM('raw data'!B827))</f>
        <v>Group C</v>
      </c>
      <c r="C827" s="7" t="str">
        <f>PROPER(TRIM('raw data'!C827))</f>
        <v>High School</v>
      </c>
      <c r="D827" s="7" t="str">
        <f>PROPER(TRIM('raw data'!D827))</f>
        <v>Standard</v>
      </c>
      <c r="E827" s="7" t="str">
        <f>PROPER(TRIM('raw data'!E827))</f>
        <v>None</v>
      </c>
      <c r="F827" s="8">
        <v>62</v>
      </c>
      <c r="G827" s="8">
        <v>67</v>
      </c>
      <c r="H827" s="8">
        <v>58</v>
      </c>
      <c r="I827">
        <f t="shared" si="36"/>
        <v>187</v>
      </c>
      <c r="J827">
        <f t="shared" si="37"/>
        <v>62.333333333333336</v>
      </c>
      <c r="K827" s="7" t="str">
        <f t="shared" si="38"/>
        <v>pass</v>
      </c>
    </row>
    <row r="828" spans="1:11" x14ac:dyDescent="0.25">
      <c r="A828" t="str">
        <f>PROPER(TRIM('raw data'!A828))</f>
        <v>Female</v>
      </c>
      <c r="B828" t="str">
        <f>PROPER(TRIM('raw data'!B828))</f>
        <v>Group C</v>
      </c>
      <c r="C828" s="7" t="str">
        <f>PROPER(TRIM('raw data'!C828))</f>
        <v>Associate'S Degree</v>
      </c>
      <c r="D828" s="7" t="str">
        <f>PROPER(TRIM('raw data'!D828))</f>
        <v>Free/Reduced</v>
      </c>
      <c r="E828" s="7" t="str">
        <f>PROPER(TRIM('raw data'!E828))</f>
        <v>Completed</v>
      </c>
      <c r="F828" s="8">
        <v>56</v>
      </c>
      <c r="G828" s="8">
        <v>68</v>
      </c>
      <c r="H828" s="8">
        <v>70</v>
      </c>
      <c r="I828">
        <f t="shared" si="36"/>
        <v>194</v>
      </c>
      <c r="J828">
        <f t="shared" si="37"/>
        <v>64.666666666666671</v>
      </c>
      <c r="K828" s="7" t="str">
        <f t="shared" si="38"/>
        <v>pass</v>
      </c>
    </row>
    <row r="829" spans="1:11" x14ac:dyDescent="0.25">
      <c r="A829" t="str">
        <f>PROPER(TRIM('raw data'!A829))</f>
        <v>Female</v>
      </c>
      <c r="B829" t="str">
        <f>PROPER(TRIM('raw data'!B829))</f>
        <v>Group C</v>
      </c>
      <c r="C829" s="7" t="str">
        <f>PROPER(TRIM('raw data'!C829))</f>
        <v>Some High School</v>
      </c>
      <c r="D829" s="7" t="str">
        <f>PROPER(TRIM('raw data'!D829))</f>
        <v>Standard</v>
      </c>
      <c r="E829" s="7" t="str">
        <f>PROPER(TRIM('raw data'!E829))</f>
        <v>None</v>
      </c>
      <c r="F829" s="8">
        <v>65</v>
      </c>
      <c r="G829" s="8">
        <v>69</v>
      </c>
      <c r="H829" s="8">
        <v>76</v>
      </c>
      <c r="I829">
        <f t="shared" si="36"/>
        <v>210</v>
      </c>
      <c r="J829">
        <f t="shared" si="37"/>
        <v>70</v>
      </c>
      <c r="K829" s="7" t="str">
        <f t="shared" si="38"/>
        <v>pass</v>
      </c>
    </row>
    <row r="830" spans="1:11" x14ac:dyDescent="0.25">
      <c r="A830" t="str">
        <f>PROPER(TRIM('raw data'!A830))</f>
        <v>Female</v>
      </c>
      <c r="B830" t="str">
        <f>PROPER(TRIM('raw data'!B830))</f>
        <v>Group D</v>
      </c>
      <c r="C830" s="7" t="str">
        <f>PROPER(TRIM('raw data'!C830))</f>
        <v>Some High School</v>
      </c>
      <c r="D830" s="7" t="str">
        <f>PROPER(TRIM('raw data'!D830))</f>
        <v>Free/Reduced</v>
      </c>
      <c r="E830" s="7" t="str">
        <f>PROPER(TRIM('raw data'!E830))</f>
        <v>Completed</v>
      </c>
      <c r="F830" s="8">
        <v>69</v>
      </c>
      <c r="G830" s="8">
        <v>86</v>
      </c>
      <c r="H830" s="8">
        <v>81</v>
      </c>
      <c r="I830">
        <f t="shared" si="36"/>
        <v>236</v>
      </c>
      <c r="J830">
        <f t="shared" si="37"/>
        <v>78.666666666666671</v>
      </c>
      <c r="K830" s="7" t="str">
        <f t="shared" si="38"/>
        <v>pass</v>
      </c>
    </row>
    <row r="831" spans="1:11" x14ac:dyDescent="0.25">
      <c r="A831" t="str">
        <f>PROPER(TRIM('raw data'!A831))</f>
        <v>Male</v>
      </c>
      <c r="B831" t="str">
        <f>PROPER(TRIM('raw data'!B831))</f>
        <v>Group B</v>
      </c>
      <c r="C831" s="7" t="str">
        <f>PROPER(TRIM('raw data'!C831))</f>
        <v>Some High School</v>
      </c>
      <c r="D831" s="7" t="str">
        <f>PROPER(TRIM('raw data'!D831))</f>
        <v>Standard</v>
      </c>
      <c r="E831" s="7" t="str">
        <f>PROPER(TRIM('raw data'!E831))</f>
        <v>None</v>
      </c>
      <c r="F831" s="8">
        <v>68</v>
      </c>
      <c r="G831" s="8">
        <v>54</v>
      </c>
      <c r="H831" s="8">
        <v>53</v>
      </c>
      <c r="I831">
        <f t="shared" si="36"/>
        <v>175</v>
      </c>
      <c r="J831">
        <f t="shared" si="37"/>
        <v>58.333333333333336</v>
      </c>
      <c r="K831" s="7" t="str">
        <f t="shared" si="38"/>
        <v>pass</v>
      </c>
    </row>
    <row r="832" spans="1:11" x14ac:dyDescent="0.25">
      <c r="A832" t="str">
        <f>PROPER(TRIM('raw data'!A832))</f>
        <v>Female</v>
      </c>
      <c r="B832" t="str">
        <f>PROPER(TRIM('raw data'!B832))</f>
        <v>Group A</v>
      </c>
      <c r="C832" s="7" t="str">
        <f>PROPER(TRIM('raw data'!C832))</f>
        <v>Some College</v>
      </c>
      <c r="D832" s="7" t="str">
        <f>PROPER(TRIM('raw data'!D832))</f>
        <v>Free/Reduced</v>
      </c>
      <c r="E832" s="7" t="str">
        <f>PROPER(TRIM('raw data'!E832))</f>
        <v>None</v>
      </c>
      <c r="F832" s="8">
        <v>61</v>
      </c>
      <c r="G832" s="8">
        <v>60</v>
      </c>
      <c r="H832" s="8">
        <v>57</v>
      </c>
      <c r="I832">
        <f t="shared" si="36"/>
        <v>178</v>
      </c>
      <c r="J832">
        <f t="shared" si="37"/>
        <v>59.333333333333336</v>
      </c>
      <c r="K832" s="7" t="str">
        <f t="shared" si="38"/>
        <v>pass</v>
      </c>
    </row>
    <row r="833" spans="1:11" x14ac:dyDescent="0.25">
      <c r="A833" t="str">
        <f>PROPER(TRIM('raw data'!A833))</f>
        <v>Female</v>
      </c>
      <c r="B833" t="str">
        <f>PROPER(TRIM('raw data'!B833))</f>
        <v>Group C</v>
      </c>
      <c r="C833" s="7" t="str">
        <f>PROPER(TRIM('raw data'!C833))</f>
        <v>Bachelor'S Degree</v>
      </c>
      <c r="D833" s="7" t="str">
        <f>PROPER(TRIM('raw data'!D833))</f>
        <v>Free/Reduced</v>
      </c>
      <c r="E833" s="7" t="str">
        <f>PROPER(TRIM('raw data'!E833))</f>
        <v>Completed</v>
      </c>
      <c r="F833" s="8">
        <v>74</v>
      </c>
      <c r="G833" s="8">
        <v>86</v>
      </c>
      <c r="H833" s="8">
        <v>89</v>
      </c>
      <c r="I833">
        <f t="shared" si="36"/>
        <v>249</v>
      </c>
      <c r="J833">
        <f t="shared" si="37"/>
        <v>83</v>
      </c>
      <c r="K833" s="7" t="str">
        <f t="shared" si="38"/>
        <v>pass</v>
      </c>
    </row>
    <row r="834" spans="1:11" x14ac:dyDescent="0.25">
      <c r="A834" t="str">
        <f>PROPER(TRIM('raw data'!A834))</f>
        <v>Male</v>
      </c>
      <c r="B834" t="str">
        <f>PROPER(TRIM('raw data'!B834))</f>
        <v>Group A</v>
      </c>
      <c r="C834" s="7" t="str">
        <f>PROPER(TRIM('raw data'!C834))</f>
        <v>Bachelor'S Degree</v>
      </c>
      <c r="D834" s="7" t="str">
        <f>PROPER(TRIM('raw data'!D834))</f>
        <v>Standard</v>
      </c>
      <c r="E834" s="7" t="str">
        <f>PROPER(TRIM('raw data'!E834))</f>
        <v>None</v>
      </c>
      <c r="F834" s="8">
        <v>64</v>
      </c>
      <c r="G834" s="8">
        <v>60</v>
      </c>
      <c r="H834" s="8">
        <v>58</v>
      </c>
      <c r="I834">
        <f t="shared" si="36"/>
        <v>182</v>
      </c>
      <c r="J834">
        <f t="shared" si="37"/>
        <v>60.666666666666664</v>
      </c>
      <c r="K834" s="7" t="str">
        <f t="shared" si="38"/>
        <v>pass</v>
      </c>
    </row>
    <row r="835" spans="1:11" x14ac:dyDescent="0.25">
      <c r="A835" t="str">
        <f>PROPER(TRIM('raw data'!A835))</f>
        <v>Female</v>
      </c>
      <c r="B835" t="str">
        <f>PROPER(TRIM('raw data'!B835))</f>
        <v>Group B</v>
      </c>
      <c r="C835" s="7" t="str">
        <f>PROPER(TRIM('raw data'!C835))</f>
        <v>High School</v>
      </c>
      <c r="D835" s="7" t="str">
        <f>PROPER(TRIM('raw data'!D835))</f>
        <v>Standard</v>
      </c>
      <c r="E835" s="7" t="str">
        <f>PROPER(TRIM('raw data'!E835))</f>
        <v>Completed</v>
      </c>
      <c r="F835" s="8">
        <v>77</v>
      </c>
      <c r="G835" s="8">
        <v>82</v>
      </c>
      <c r="H835" s="8">
        <v>89</v>
      </c>
      <c r="I835">
        <f t="shared" ref="I835:I898" si="39">F835+G835+H835</f>
        <v>248</v>
      </c>
      <c r="J835">
        <f t="shared" ref="J835:J898" si="40">I835/3</f>
        <v>82.666666666666671</v>
      </c>
      <c r="K835" s="7" t="str">
        <f t="shared" ref="K835:K898" si="41">IF(J835&gt;=40,"pass","fail")</f>
        <v>pass</v>
      </c>
    </row>
    <row r="836" spans="1:11" x14ac:dyDescent="0.25">
      <c r="A836" t="str">
        <f>PROPER(TRIM('raw data'!A836))</f>
        <v>Male</v>
      </c>
      <c r="B836" t="str">
        <f>PROPER(TRIM('raw data'!B836))</f>
        <v>Group B</v>
      </c>
      <c r="C836" s="7" t="str">
        <f>PROPER(TRIM('raw data'!C836))</f>
        <v>Some College</v>
      </c>
      <c r="D836" s="7" t="str">
        <f>PROPER(TRIM('raw data'!D836))</f>
        <v>Standard</v>
      </c>
      <c r="E836" s="7" t="str">
        <f>PROPER(TRIM('raw data'!E836))</f>
        <v>None</v>
      </c>
      <c r="F836" s="8">
        <v>58</v>
      </c>
      <c r="G836" s="8">
        <v>50</v>
      </c>
      <c r="H836" s="8">
        <v>45</v>
      </c>
      <c r="I836">
        <f t="shared" si="39"/>
        <v>153</v>
      </c>
      <c r="J836">
        <f t="shared" si="40"/>
        <v>51</v>
      </c>
      <c r="K836" s="7" t="str">
        <f t="shared" si="41"/>
        <v>pass</v>
      </c>
    </row>
    <row r="837" spans="1:11" x14ac:dyDescent="0.25">
      <c r="A837" t="str">
        <f>PROPER(TRIM('raw data'!A837))</f>
        <v>Female</v>
      </c>
      <c r="B837" t="str">
        <f>PROPER(TRIM('raw data'!B837))</f>
        <v>Group C</v>
      </c>
      <c r="C837" s="7" t="str">
        <f>PROPER(TRIM('raw data'!C837))</f>
        <v>High School</v>
      </c>
      <c r="D837" s="7" t="str">
        <f>PROPER(TRIM('raw data'!D837))</f>
        <v>Standard</v>
      </c>
      <c r="E837" s="7" t="str">
        <f>PROPER(TRIM('raw data'!E837))</f>
        <v>Completed</v>
      </c>
      <c r="F837" s="8">
        <v>60</v>
      </c>
      <c r="G837" s="8">
        <v>64</v>
      </c>
      <c r="H837" s="8">
        <v>74</v>
      </c>
      <c r="I837">
        <f t="shared" si="39"/>
        <v>198</v>
      </c>
      <c r="J837">
        <f t="shared" si="40"/>
        <v>66</v>
      </c>
      <c r="K837" s="7" t="str">
        <f t="shared" si="41"/>
        <v>pass</v>
      </c>
    </row>
    <row r="838" spans="1:11" x14ac:dyDescent="0.25">
      <c r="A838" t="str">
        <f>PROPER(TRIM('raw data'!A838))</f>
        <v>Male</v>
      </c>
      <c r="B838" t="str">
        <f>PROPER(TRIM('raw data'!B838))</f>
        <v>Group E</v>
      </c>
      <c r="C838" s="7" t="str">
        <f>PROPER(TRIM('raw data'!C838))</f>
        <v>High School</v>
      </c>
      <c r="D838" s="7" t="str">
        <f>PROPER(TRIM('raw data'!D838))</f>
        <v>Standard</v>
      </c>
      <c r="E838" s="7" t="str">
        <f>PROPER(TRIM('raw data'!E838))</f>
        <v>None</v>
      </c>
      <c r="F838" s="8">
        <v>73</v>
      </c>
      <c r="G838" s="8">
        <v>64</v>
      </c>
      <c r="H838" s="8">
        <v>57</v>
      </c>
      <c r="I838">
        <f t="shared" si="39"/>
        <v>194</v>
      </c>
      <c r="J838">
        <f t="shared" si="40"/>
        <v>64.666666666666671</v>
      </c>
      <c r="K838" s="7" t="str">
        <f t="shared" si="41"/>
        <v>pass</v>
      </c>
    </row>
    <row r="839" spans="1:11" x14ac:dyDescent="0.25">
      <c r="A839" t="str">
        <f>PROPER(TRIM('raw data'!A839))</f>
        <v>Female</v>
      </c>
      <c r="B839" t="str">
        <f>PROPER(TRIM('raw data'!B839))</f>
        <v>Group A</v>
      </c>
      <c r="C839" s="7" t="str">
        <f>PROPER(TRIM('raw data'!C839))</f>
        <v>High School</v>
      </c>
      <c r="D839" s="7" t="str">
        <f>PROPER(TRIM('raw data'!D839))</f>
        <v>Standard</v>
      </c>
      <c r="E839" s="7" t="str">
        <f>PROPER(TRIM('raw data'!E839))</f>
        <v>Completed</v>
      </c>
      <c r="F839" s="8">
        <v>75</v>
      </c>
      <c r="G839" s="8">
        <v>82</v>
      </c>
      <c r="H839" s="8">
        <v>79</v>
      </c>
      <c r="I839">
        <f t="shared" si="39"/>
        <v>236</v>
      </c>
      <c r="J839">
        <f t="shared" si="40"/>
        <v>78.666666666666671</v>
      </c>
      <c r="K839" s="7" t="str">
        <f t="shared" si="41"/>
        <v>pass</v>
      </c>
    </row>
    <row r="840" spans="1:11" x14ac:dyDescent="0.25">
      <c r="A840" t="str">
        <f>PROPER(TRIM('raw data'!A840))</f>
        <v>Male</v>
      </c>
      <c r="B840" t="str">
        <f>PROPER(TRIM('raw data'!B840))</f>
        <v>Group B</v>
      </c>
      <c r="C840" s="7" t="str">
        <f>PROPER(TRIM('raw data'!C840))</f>
        <v>Associate'S Degree</v>
      </c>
      <c r="D840" s="7" t="str">
        <f>PROPER(TRIM('raw data'!D840))</f>
        <v>Free/Reduced</v>
      </c>
      <c r="E840" s="7" t="str">
        <f>PROPER(TRIM('raw data'!E840))</f>
        <v>Completed</v>
      </c>
      <c r="F840" s="8">
        <v>58</v>
      </c>
      <c r="G840" s="8">
        <v>57</v>
      </c>
      <c r="H840" s="8">
        <v>53</v>
      </c>
      <c r="I840">
        <f t="shared" si="39"/>
        <v>168</v>
      </c>
      <c r="J840">
        <f t="shared" si="40"/>
        <v>56</v>
      </c>
      <c r="K840" s="7" t="str">
        <f t="shared" si="41"/>
        <v>pass</v>
      </c>
    </row>
    <row r="841" spans="1:11" x14ac:dyDescent="0.25">
      <c r="A841" t="str">
        <f>PROPER(TRIM('raw data'!A841))</f>
        <v>Female</v>
      </c>
      <c r="B841" t="str">
        <f>PROPER(TRIM('raw data'!B841))</f>
        <v>Group C</v>
      </c>
      <c r="C841" s="7" t="str">
        <f>PROPER(TRIM('raw data'!C841))</f>
        <v>Associate'S Degree</v>
      </c>
      <c r="D841" s="7" t="str">
        <f>PROPER(TRIM('raw data'!D841))</f>
        <v>Standard</v>
      </c>
      <c r="E841" s="7" t="str">
        <f>PROPER(TRIM('raw data'!E841))</f>
        <v>None</v>
      </c>
      <c r="F841" s="8">
        <v>66</v>
      </c>
      <c r="G841" s="8">
        <v>77</v>
      </c>
      <c r="H841" s="8">
        <v>73</v>
      </c>
      <c r="I841">
        <f t="shared" si="39"/>
        <v>216</v>
      </c>
      <c r="J841">
        <f t="shared" si="40"/>
        <v>72</v>
      </c>
      <c r="K841" s="7" t="str">
        <f t="shared" si="41"/>
        <v>pass</v>
      </c>
    </row>
    <row r="842" spans="1:11" x14ac:dyDescent="0.25">
      <c r="A842" t="str">
        <f>PROPER(TRIM('raw data'!A842))</f>
        <v>Female</v>
      </c>
      <c r="B842" t="str">
        <f>PROPER(TRIM('raw data'!B842))</f>
        <v>Group D</v>
      </c>
      <c r="C842" s="7" t="str">
        <f>PROPER(TRIM('raw data'!C842))</f>
        <v>High School</v>
      </c>
      <c r="D842" s="7" t="str">
        <f>PROPER(TRIM('raw data'!D842))</f>
        <v>Free/Reduced</v>
      </c>
      <c r="E842" s="7" t="str">
        <f>PROPER(TRIM('raw data'!E842))</f>
        <v>None</v>
      </c>
      <c r="F842" s="8">
        <v>39</v>
      </c>
      <c r="G842" s="8">
        <v>52</v>
      </c>
      <c r="H842" s="8">
        <v>46</v>
      </c>
      <c r="I842">
        <f t="shared" si="39"/>
        <v>137</v>
      </c>
      <c r="J842">
        <f t="shared" si="40"/>
        <v>45.666666666666664</v>
      </c>
      <c r="K842" s="7" t="str">
        <f t="shared" si="41"/>
        <v>pass</v>
      </c>
    </row>
    <row r="843" spans="1:11" x14ac:dyDescent="0.25">
      <c r="A843" t="str">
        <f>PROPER(TRIM('raw data'!A843))</f>
        <v>Male</v>
      </c>
      <c r="B843" t="str">
        <f>PROPER(TRIM('raw data'!B843))</f>
        <v>Group C</v>
      </c>
      <c r="C843" s="7" t="str">
        <f>PROPER(TRIM('raw data'!C843))</f>
        <v>Some High School</v>
      </c>
      <c r="D843" s="7" t="str">
        <f>PROPER(TRIM('raw data'!D843))</f>
        <v>Standard</v>
      </c>
      <c r="E843" s="7" t="str">
        <f>PROPER(TRIM('raw data'!E843))</f>
        <v>None</v>
      </c>
      <c r="F843" s="8">
        <v>64</v>
      </c>
      <c r="G843" s="8">
        <v>58</v>
      </c>
      <c r="H843" s="8">
        <v>51</v>
      </c>
      <c r="I843">
        <f t="shared" si="39"/>
        <v>173</v>
      </c>
      <c r="J843">
        <f t="shared" si="40"/>
        <v>57.666666666666664</v>
      </c>
      <c r="K843" s="7" t="str">
        <f t="shared" si="41"/>
        <v>pass</v>
      </c>
    </row>
    <row r="844" spans="1:11" x14ac:dyDescent="0.25">
      <c r="A844" t="str">
        <f>PROPER(TRIM('raw data'!A844))</f>
        <v>Female</v>
      </c>
      <c r="B844" t="str">
        <f>PROPER(TRIM('raw data'!B844))</f>
        <v>Group B</v>
      </c>
      <c r="C844" s="7" t="str">
        <f>PROPER(TRIM('raw data'!C844))</f>
        <v>High School</v>
      </c>
      <c r="D844" s="7" t="str">
        <f>PROPER(TRIM('raw data'!D844))</f>
        <v>Free/Reduced</v>
      </c>
      <c r="E844" s="7" t="str">
        <f>PROPER(TRIM('raw data'!E844))</f>
        <v>Completed</v>
      </c>
      <c r="F844" s="8">
        <v>23</v>
      </c>
      <c r="G844" s="8">
        <v>44</v>
      </c>
      <c r="H844" s="8">
        <v>36</v>
      </c>
      <c r="I844">
        <f t="shared" si="39"/>
        <v>103</v>
      </c>
      <c r="J844">
        <f t="shared" si="40"/>
        <v>34.333333333333336</v>
      </c>
      <c r="K844" s="7" t="str">
        <f t="shared" si="41"/>
        <v>fail</v>
      </c>
    </row>
    <row r="845" spans="1:11" x14ac:dyDescent="0.25">
      <c r="A845" t="str">
        <f>PROPER(TRIM('raw data'!A845))</f>
        <v>Male</v>
      </c>
      <c r="B845" t="str">
        <f>PROPER(TRIM('raw data'!B845))</f>
        <v>Group B</v>
      </c>
      <c r="C845" s="7" t="str">
        <f>PROPER(TRIM('raw data'!C845))</f>
        <v>Some College</v>
      </c>
      <c r="D845" s="7" t="str">
        <f>PROPER(TRIM('raw data'!D845))</f>
        <v>Free/Reduced</v>
      </c>
      <c r="E845" s="7" t="str">
        <f>PROPER(TRIM('raw data'!E845))</f>
        <v>Completed</v>
      </c>
      <c r="F845" s="8">
        <v>74</v>
      </c>
      <c r="G845" s="8">
        <v>77</v>
      </c>
      <c r="H845" s="8">
        <v>76</v>
      </c>
      <c r="I845">
        <f t="shared" si="39"/>
        <v>227</v>
      </c>
      <c r="J845">
        <f t="shared" si="40"/>
        <v>75.666666666666671</v>
      </c>
      <c r="K845" s="7" t="str">
        <f t="shared" si="41"/>
        <v>pass</v>
      </c>
    </row>
    <row r="846" spans="1:11" x14ac:dyDescent="0.25">
      <c r="A846" t="str">
        <f>PROPER(TRIM('raw data'!A846))</f>
        <v>Female</v>
      </c>
      <c r="B846" t="str">
        <f>PROPER(TRIM('raw data'!B846))</f>
        <v>Group D</v>
      </c>
      <c r="C846" s="7" t="str">
        <f>PROPER(TRIM('raw data'!C846))</f>
        <v>Some High School</v>
      </c>
      <c r="D846" s="7" t="str">
        <f>PROPER(TRIM('raw data'!D846))</f>
        <v>Free/Reduced</v>
      </c>
      <c r="E846" s="7" t="str">
        <f>PROPER(TRIM('raw data'!E846))</f>
        <v>Completed</v>
      </c>
      <c r="F846" s="8">
        <v>40</v>
      </c>
      <c r="G846" s="8">
        <v>65</v>
      </c>
      <c r="H846" s="8">
        <v>64</v>
      </c>
      <c r="I846">
        <f t="shared" si="39"/>
        <v>169</v>
      </c>
      <c r="J846">
        <f t="shared" si="40"/>
        <v>56.333333333333336</v>
      </c>
      <c r="K846" s="7" t="str">
        <f t="shared" si="41"/>
        <v>pass</v>
      </c>
    </row>
    <row r="847" spans="1:11" x14ac:dyDescent="0.25">
      <c r="A847" t="str">
        <f>PROPER(TRIM('raw data'!A847))</f>
        <v>Male</v>
      </c>
      <c r="B847" t="str">
        <f>PROPER(TRIM('raw data'!B847))</f>
        <v>Group E</v>
      </c>
      <c r="C847" s="7" t="str">
        <f>PROPER(TRIM('raw data'!C847))</f>
        <v>Master'S Degree</v>
      </c>
      <c r="D847" s="7" t="str">
        <f>PROPER(TRIM('raw data'!D847))</f>
        <v>Standard</v>
      </c>
      <c r="E847" s="7" t="str">
        <f>PROPER(TRIM('raw data'!E847))</f>
        <v>None</v>
      </c>
      <c r="F847" s="8">
        <v>90</v>
      </c>
      <c r="G847" s="8">
        <v>85</v>
      </c>
      <c r="H847" s="8">
        <v>84</v>
      </c>
      <c r="I847">
        <f t="shared" si="39"/>
        <v>259</v>
      </c>
      <c r="J847">
        <f t="shared" si="40"/>
        <v>86.333333333333329</v>
      </c>
      <c r="K847" s="7" t="str">
        <f t="shared" si="41"/>
        <v>pass</v>
      </c>
    </row>
    <row r="848" spans="1:11" x14ac:dyDescent="0.25">
      <c r="A848" t="str">
        <f>PROPER(TRIM('raw data'!A848))</f>
        <v>Male</v>
      </c>
      <c r="B848" t="str">
        <f>PROPER(TRIM('raw data'!B848))</f>
        <v>Group C</v>
      </c>
      <c r="C848" s="7" t="str">
        <f>PROPER(TRIM('raw data'!C848))</f>
        <v>Master'S Degree</v>
      </c>
      <c r="D848" s="7" t="str">
        <f>PROPER(TRIM('raw data'!D848))</f>
        <v>Standard</v>
      </c>
      <c r="E848" s="7" t="str">
        <f>PROPER(TRIM('raw data'!E848))</f>
        <v>Completed</v>
      </c>
      <c r="F848" s="8">
        <v>91</v>
      </c>
      <c r="G848" s="8">
        <v>85</v>
      </c>
      <c r="H848" s="8">
        <v>85</v>
      </c>
      <c r="I848">
        <f t="shared" si="39"/>
        <v>261</v>
      </c>
      <c r="J848">
        <f t="shared" si="40"/>
        <v>87</v>
      </c>
      <c r="K848" s="7" t="str">
        <f t="shared" si="41"/>
        <v>pass</v>
      </c>
    </row>
    <row r="849" spans="1:11" x14ac:dyDescent="0.25">
      <c r="A849" t="str">
        <f>PROPER(TRIM('raw data'!A849))</f>
        <v>Male</v>
      </c>
      <c r="B849" t="str">
        <f>PROPER(TRIM('raw data'!B849))</f>
        <v>Group D</v>
      </c>
      <c r="C849" s="7" t="str">
        <f>PROPER(TRIM('raw data'!C849))</f>
        <v>High School</v>
      </c>
      <c r="D849" s="7" t="str">
        <f>PROPER(TRIM('raw data'!D849))</f>
        <v>Standard</v>
      </c>
      <c r="E849" s="7" t="str">
        <f>PROPER(TRIM('raw data'!E849))</f>
        <v>None</v>
      </c>
      <c r="F849" s="8">
        <v>64</v>
      </c>
      <c r="G849" s="8">
        <v>54</v>
      </c>
      <c r="H849" s="8">
        <v>50</v>
      </c>
      <c r="I849">
        <f t="shared" si="39"/>
        <v>168</v>
      </c>
      <c r="J849">
        <f t="shared" si="40"/>
        <v>56</v>
      </c>
      <c r="K849" s="7" t="str">
        <f t="shared" si="41"/>
        <v>pass</v>
      </c>
    </row>
    <row r="850" spans="1:11" x14ac:dyDescent="0.25">
      <c r="A850" t="str">
        <f>PROPER(TRIM('raw data'!A850))</f>
        <v>Female</v>
      </c>
      <c r="B850" t="str">
        <f>PROPER(TRIM('raw data'!B850))</f>
        <v>Group C</v>
      </c>
      <c r="C850" s="7" t="str">
        <f>PROPER(TRIM('raw data'!C850))</f>
        <v>High School</v>
      </c>
      <c r="D850" s="7" t="str">
        <f>PROPER(TRIM('raw data'!D850))</f>
        <v>Standard</v>
      </c>
      <c r="E850" s="7" t="str">
        <f>PROPER(TRIM('raw data'!E850))</f>
        <v>None</v>
      </c>
      <c r="F850" s="8">
        <v>59</v>
      </c>
      <c r="G850" s="8">
        <v>72</v>
      </c>
      <c r="H850" s="8">
        <v>68</v>
      </c>
      <c r="I850">
        <f t="shared" si="39"/>
        <v>199</v>
      </c>
      <c r="J850">
        <f t="shared" si="40"/>
        <v>66.333333333333329</v>
      </c>
      <c r="K850" s="7" t="str">
        <f t="shared" si="41"/>
        <v>pass</v>
      </c>
    </row>
    <row r="851" spans="1:11" x14ac:dyDescent="0.25">
      <c r="A851" t="str">
        <f>PROPER(TRIM('raw data'!A851))</f>
        <v>Male</v>
      </c>
      <c r="B851" t="str">
        <f>PROPER(TRIM('raw data'!B851))</f>
        <v>Group D</v>
      </c>
      <c r="C851" s="7" t="str">
        <f>PROPER(TRIM('raw data'!C851))</f>
        <v>Associate'S Degree</v>
      </c>
      <c r="D851" s="7" t="str">
        <f>PROPER(TRIM('raw data'!D851))</f>
        <v>Standard</v>
      </c>
      <c r="E851" s="7" t="str">
        <f>PROPER(TRIM('raw data'!E851))</f>
        <v>None</v>
      </c>
      <c r="F851" s="8">
        <v>80</v>
      </c>
      <c r="G851" s="8">
        <v>75</v>
      </c>
      <c r="H851" s="8">
        <v>69</v>
      </c>
      <c r="I851">
        <f t="shared" si="39"/>
        <v>224</v>
      </c>
      <c r="J851">
        <f t="shared" si="40"/>
        <v>74.666666666666671</v>
      </c>
      <c r="K851" s="7" t="str">
        <f t="shared" si="41"/>
        <v>pass</v>
      </c>
    </row>
    <row r="852" spans="1:11" x14ac:dyDescent="0.25">
      <c r="A852" t="str">
        <f>PROPER(TRIM('raw data'!A852))</f>
        <v>Male</v>
      </c>
      <c r="B852" t="str">
        <f>PROPER(TRIM('raw data'!B852))</f>
        <v>Group C</v>
      </c>
      <c r="C852" s="7" t="str">
        <f>PROPER(TRIM('raw data'!C852))</f>
        <v>Master'S Degree</v>
      </c>
      <c r="D852" s="7" t="str">
        <f>PROPER(TRIM('raw data'!D852))</f>
        <v>Standard</v>
      </c>
      <c r="E852" s="7" t="str">
        <f>PROPER(TRIM('raw data'!E852))</f>
        <v>None</v>
      </c>
      <c r="F852" s="8">
        <v>71</v>
      </c>
      <c r="G852" s="8">
        <v>67</v>
      </c>
      <c r="H852" s="8">
        <v>67</v>
      </c>
      <c r="I852">
        <f t="shared" si="39"/>
        <v>205</v>
      </c>
      <c r="J852">
        <f t="shared" si="40"/>
        <v>68.333333333333329</v>
      </c>
      <c r="K852" s="7" t="str">
        <f t="shared" si="41"/>
        <v>pass</v>
      </c>
    </row>
    <row r="853" spans="1:11" x14ac:dyDescent="0.25">
      <c r="A853" t="str">
        <f>PROPER(TRIM('raw data'!A853))</f>
        <v>Female</v>
      </c>
      <c r="B853" t="str">
        <f>PROPER(TRIM('raw data'!B853))</f>
        <v>Group A</v>
      </c>
      <c r="C853" s="7" t="str">
        <f>PROPER(TRIM('raw data'!C853))</f>
        <v>High School</v>
      </c>
      <c r="D853" s="7" t="str">
        <f>PROPER(TRIM('raw data'!D853))</f>
        <v>Standard</v>
      </c>
      <c r="E853" s="7" t="str">
        <f>PROPER(TRIM('raw data'!E853))</f>
        <v>None</v>
      </c>
      <c r="F853" s="8">
        <v>61</v>
      </c>
      <c r="G853" s="8">
        <v>68</v>
      </c>
      <c r="H853" s="8">
        <v>63</v>
      </c>
      <c r="I853">
        <f t="shared" si="39"/>
        <v>192</v>
      </c>
      <c r="J853">
        <f t="shared" si="40"/>
        <v>64</v>
      </c>
      <c r="K853" s="7" t="str">
        <f t="shared" si="41"/>
        <v>pass</v>
      </c>
    </row>
    <row r="854" spans="1:11" x14ac:dyDescent="0.25">
      <c r="A854" t="str">
        <f>PROPER(TRIM('raw data'!A854))</f>
        <v>Female</v>
      </c>
      <c r="B854" t="str">
        <f>PROPER(TRIM('raw data'!B854))</f>
        <v>Group E</v>
      </c>
      <c r="C854" s="7" t="str">
        <f>PROPER(TRIM('raw data'!C854))</f>
        <v>Some College</v>
      </c>
      <c r="D854" s="7" t="str">
        <f>PROPER(TRIM('raw data'!D854))</f>
        <v>Standard</v>
      </c>
      <c r="E854" s="7" t="str">
        <f>PROPER(TRIM('raw data'!E854))</f>
        <v>None</v>
      </c>
      <c r="F854" s="8">
        <v>87</v>
      </c>
      <c r="G854" s="8">
        <v>85</v>
      </c>
      <c r="H854" s="8">
        <v>93</v>
      </c>
      <c r="I854">
        <f t="shared" si="39"/>
        <v>265</v>
      </c>
      <c r="J854">
        <f t="shared" si="40"/>
        <v>88.333333333333329</v>
      </c>
      <c r="K854" s="7" t="str">
        <f t="shared" si="41"/>
        <v>pass</v>
      </c>
    </row>
    <row r="855" spans="1:11" x14ac:dyDescent="0.25">
      <c r="A855" t="str">
        <f>PROPER(TRIM('raw data'!A855))</f>
        <v>Male</v>
      </c>
      <c r="B855" t="str">
        <f>PROPER(TRIM('raw data'!B855))</f>
        <v>Group E</v>
      </c>
      <c r="C855" s="7" t="str">
        <f>PROPER(TRIM('raw data'!C855))</f>
        <v>Some High School</v>
      </c>
      <c r="D855" s="7" t="str">
        <f>PROPER(TRIM('raw data'!D855))</f>
        <v>Standard</v>
      </c>
      <c r="E855" s="7" t="str">
        <f>PROPER(TRIM('raw data'!E855))</f>
        <v>None</v>
      </c>
      <c r="F855" s="8">
        <v>82</v>
      </c>
      <c r="G855" s="8">
        <v>67</v>
      </c>
      <c r="H855" s="8">
        <v>61</v>
      </c>
      <c r="I855">
        <f t="shared" si="39"/>
        <v>210</v>
      </c>
      <c r="J855">
        <f t="shared" si="40"/>
        <v>70</v>
      </c>
      <c r="K855" s="7" t="str">
        <f t="shared" si="41"/>
        <v>pass</v>
      </c>
    </row>
    <row r="856" spans="1:11" x14ac:dyDescent="0.25">
      <c r="A856" t="str">
        <f>PROPER(TRIM('raw data'!A856))</f>
        <v>Male</v>
      </c>
      <c r="B856" t="str">
        <f>PROPER(TRIM('raw data'!B856))</f>
        <v>Group C</v>
      </c>
      <c r="C856" s="7" t="str">
        <f>PROPER(TRIM('raw data'!C856))</f>
        <v>Some High School</v>
      </c>
      <c r="D856" s="7" t="str">
        <f>PROPER(TRIM('raw data'!D856))</f>
        <v>Standard</v>
      </c>
      <c r="E856" s="7" t="str">
        <f>PROPER(TRIM('raw data'!E856))</f>
        <v>None</v>
      </c>
      <c r="F856" s="8">
        <v>62</v>
      </c>
      <c r="G856" s="8">
        <v>64</v>
      </c>
      <c r="H856" s="8">
        <v>55</v>
      </c>
      <c r="I856">
        <f t="shared" si="39"/>
        <v>181</v>
      </c>
      <c r="J856">
        <f t="shared" si="40"/>
        <v>60.333333333333336</v>
      </c>
      <c r="K856" s="7" t="str">
        <f t="shared" si="41"/>
        <v>pass</v>
      </c>
    </row>
    <row r="857" spans="1:11" x14ac:dyDescent="0.25">
      <c r="A857" t="str">
        <f>PROPER(TRIM('raw data'!A857))</f>
        <v>Female</v>
      </c>
      <c r="B857" t="str">
        <f>PROPER(TRIM('raw data'!B857))</f>
        <v>Group B</v>
      </c>
      <c r="C857" s="7" t="str">
        <f>PROPER(TRIM('raw data'!C857))</f>
        <v>Bachelor'S Degree</v>
      </c>
      <c r="D857" s="7" t="str">
        <f>PROPER(TRIM('raw data'!D857))</f>
        <v>Standard</v>
      </c>
      <c r="E857" s="7" t="str">
        <f>PROPER(TRIM('raw data'!E857))</f>
        <v>None</v>
      </c>
      <c r="F857" s="8">
        <v>97</v>
      </c>
      <c r="G857" s="8">
        <v>97</v>
      </c>
      <c r="H857" s="8">
        <v>96</v>
      </c>
      <c r="I857">
        <f t="shared" si="39"/>
        <v>290</v>
      </c>
      <c r="J857">
        <f t="shared" si="40"/>
        <v>96.666666666666671</v>
      </c>
      <c r="K857" s="7" t="str">
        <f t="shared" si="41"/>
        <v>pass</v>
      </c>
    </row>
    <row r="858" spans="1:11" x14ac:dyDescent="0.25">
      <c r="A858" t="str">
        <f>PROPER(TRIM('raw data'!A858))</f>
        <v>Male</v>
      </c>
      <c r="B858" t="str">
        <f>PROPER(TRIM('raw data'!B858))</f>
        <v>Group B</v>
      </c>
      <c r="C858" s="7" t="str">
        <f>PROPER(TRIM('raw data'!C858))</f>
        <v>Some College</v>
      </c>
      <c r="D858" s="7" t="str">
        <f>PROPER(TRIM('raw data'!D858))</f>
        <v>Free/Reduced</v>
      </c>
      <c r="E858" s="7" t="str">
        <f>PROPER(TRIM('raw data'!E858))</f>
        <v>None</v>
      </c>
      <c r="F858" s="8">
        <v>75</v>
      </c>
      <c r="G858" s="8">
        <v>68</v>
      </c>
      <c r="H858" s="8">
        <v>65</v>
      </c>
      <c r="I858">
        <f t="shared" si="39"/>
        <v>208</v>
      </c>
      <c r="J858">
        <f t="shared" si="40"/>
        <v>69.333333333333329</v>
      </c>
      <c r="K858" s="7" t="str">
        <f t="shared" si="41"/>
        <v>pass</v>
      </c>
    </row>
    <row r="859" spans="1:11" x14ac:dyDescent="0.25">
      <c r="A859" t="str">
        <f>PROPER(TRIM('raw data'!A859))</f>
        <v>Female</v>
      </c>
      <c r="B859" t="str">
        <f>PROPER(TRIM('raw data'!B859))</f>
        <v>Group C</v>
      </c>
      <c r="C859" s="7" t="str">
        <f>PROPER(TRIM('raw data'!C859))</f>
        <v>Bachelor'S Degree</v>
      </c>
      <c r="D859" s="7" t="str">
        <f>PROPER(TRIM('raw data'!D859))</f>
        <v>Standard</v>
      </c>
      <c r="E859" s="7" t="str">
        <f>PROPER(TRIM('raw data'!E859))</f>
        <v>None</v>
      </c>
      <c r="F859" s="8">
        <v>65</v>
      </c>
      <c r="G859" s="8">
        <v>79</v>
      </c>
      <c r="H859" s="8">
        <v>81</v>
      </c>
      <c r="I859">
        <f t="shared" si="39"/>
        <v>225</v>
      </c>
      <c r="J859">
        <f t="shared" si="40"/>
        <v>75</v>
      </c>
      <c r="K859" s="7" t="str">
        <f t="shared" si="41"/>
        <v>pass</v>
      </c>
    </row>
    <row r="860" spans="1:11" x14ac:dyDescent="0.25">
      <c r="A860" t="str">
        <f>PROPER(TRIM('raw data'!A860))</f>
        <v>Male</v>
      </c>
      <c r="B860" t="str">
        <f>PROPER(TRIM('raw data'!B860))</f>
        <v>Group B</v>
      </c>
      <c r="C860" s="7" t="str">
        <f>PROPER(TRIM('raw data'!C860))</f>
        <v>High School</v>
      </c>
      <c r="D860" s="7" t="str">
        <f>PROPER(TRIM('raw data'!D860))</f>
        <v>Standard</v>
      </c>
      <c r="E860" s="7" t="str">
        <f>PROPER(TRIM('raw data'!E860))</f>
        <v>Completed</v>
      </c>
      <c r="F860" s="8">
        <v>52</v>
      </c>
      <c r="G860" s="8">
        <v>49</v>
      </c>
      <c r="H860" s="8">
        <v>46</v>
      </c>
      <c r="I860">
        <f t="shared" si="39"/>
        <v>147</v>
      </c>
      <c r="J860">
        <f t="shared" si="40"/>
        <v>49</v>
      </c>
      <c r="K860" s="7" t="str">
        <f t="shared" si="41"/>
        <v>pass</v>
      </c>
    </row>
    <row r="861" spans="1:11" x14ac:dyDescent="0.25">
      <c r="A861" t="str">
        <f>PROPER(TRIM('raw data'!A861))</f>
        <v>Male</v>
      </c>
      <c r="B861" t="str">
        <f>PROPER(TRIM('raw data'!B861))</f>
        <v>Group C</v>
      </c>
      <c r="C861" s="7" t="str">
        <f>PROPER(TRIM('raw data'!C861))</f>
        <v>Associate'S Degree</v>
      </c>
      <c r="D861" s="7" t="str">
        <f>PROPER(TRIM('raw data'!D861))</f>
        <v>Free/Reduced</v>
      </c>
      <c r="E861" s="7" t="str">
        <f>PROPER(TRIM('raw data'!E861))</f>
        <v>None</v>
      </c>
      <c r="F861" s="8">
        <v>87</v>
      </c>
      <c r="G861" s="8">
        <v>73</v>
      </c>
      <c r="H861" s="8">
        <v>72</v>
      </c>
      <c r="I861">
        <f t="shared" si="39"/>
        <v>232</v>
      </c>
      <c r="J861">
        <f t="shared" si="40"/>
        <v>77.333333333333329</v>
      </c>
      <c r="K861" s="7" t="str">
        <f t="shared" si="41"/>
        <v>pass</v>
      </c>
    </row>
    <row r="862" spans="1:11" x14ac:dyDescent="0.25">
      <c r="A862" t="str">
        <f>PROPER(TRIM('raw data'!A862))</f>
        <v>Female</v>
      </c>
      <c r="B862" t="str">
        <f>PROPER(TRIM('raw data'!B862))</f>
        <v>Group C</v>
      </c>
      <c r="C862" s="7" t="str">
        <f>PROPER(TRIM('raw data'!C862))</f>
        <v>Associate'S Degree</v>
      </c>
      <c r="D862" s="7" t="str">
        <f>PROPER(TRIM('raw data'!D862))</f>
        <v>Standard</v>
      </c>
      <c r="E862" s="7" t="str">
        <f>PROPER(TRIM('raw data'!E862))</f>
        <v>None</v>
      </c>
      <c r="F862" s="8">
        <v>53</v>
      </c>
      <c r="G862" s="8">
        <v>62</v>
      </c>
      <c r="H862" s="8">
        <v>53</v>
      </c>
      <c r="I862">
        <f t="shared" si="39"/>
        <v>168</v>
      </c>
      <c r="J862">
        <f t="shared" si="40"/>
        <v>56</v>
      </c>
      <c r="K862" s="7" t="str">
        <f t="shared" si="41"/>
        <v>pass</v>
      </c>
    </row>
    <row r="863" spans="1:11" x14ac:dyDescent="0.25">
      <c r="A863" t="str">
        <f>PROPER(TRIM('raw data'!A863))</f>
        <v>Female</v>
      </c>
      <c r="B863" t="str">
        <f>PROPER(TRIM('raw data'!B863))</f>
        <v>Group E</v>
      </c>
      <c r="C863" s="7" t="str">
        <f>PROPER(TRIM('raw data'!C863))</f>
        <v>Master'S Degree</v>
      </c>
      <c r="D863" s="7" t="str">
        <f>PROPER(TRIM('raw data'!D863))</f>
        <v>Free/Reduced</v>
      </c>
      <c r="E863" s="7" t="str">
        <f>PROPER(TRIM('raw data'!E863))</f>
        <v>None</v>
      </c>
      <c r="F863" s="8">
        <v>81</v>
      </c>
      <c r="G863" s="8">
        <v>86</v>
      </c>
      <c r="H863" s="8">
        <v>87</v>
      </c>
      <c r="I863">
        <f t="shared" si="39"/>
        <v>254</v>
      </c>
      <c r="J863">
        <f t="shared" si="40"/>
        <v>84.666666666666671</v>
      </c>
      <c r="K863" s="7" t="str">
        <f t="shared" si="41"/>
        <v>pass</v>
      </c>
    </row>
    <row r="864" spans="1:11" x14ac:dyDescent="0.25">
      <c r="A864" t="str">
        <f>PROPER(TRIM('raw data'!A864))</f>
        <v>Male</v>
      </c>
      <c r="B864" t="str">
        <f>PROPER(TRIM('raw data'!B864))</f>
        <v>Group D</v>
      </c>
      <c r="C864" s="7" t="str">
        <f>PROPER(TRIM('raw data'!C864))</f>
        <v>Bachelor'S Degree</v>
      </c>
      <c r="D864" s="7" t="str">
        <f>PROPER(TRIM('raw data'!D864))</f>
        <v>Free/Reduced</v>
      </c>
      <c r="E864" s="7" t="str">
        <f>PROPER(TRIM('raw data'!E864))</f>
        <v>Completed</v>
      </c>
      <c r="F864" s="8">
        <v>39</v>
      </c>
      <c r="G864" s="8">
        <v>42</v>
      </c>
      <c r="H864" s="8">
        <v>38</v>
      </c>
      <c r="I864">
        <f t="shared" si="39"/>
        <v>119</v>
      </c>
      <c r="J864">
        <f t="shared" si="40"/>
        <v>39.666666666666664</v>
      </c>
      <c r="K864" s="7" t="str">
        <f t="shared" si="41"/>
        <v>fail</v>
      </c>
    </row>
    <row r="865" spans="1:11" x14ac:dyDescent="0.25">
      <c r="A865" t="str">
        <f>PROPER(TRIM('raw data'!A865))</f>
        <v>Female</v>
      </c>
      <c r="B865" t="str">
        <f>PROPER(TRIM('raw data'!B865))</f>
        <v>Group C</v>
      </c>
      <c r="C865" s="7" t="str">
        <f>PROPER(TRIM('raw data'!C865))</f>
        <v>Some College</v>
      </c>
      <c r="D865" s="7" t="str">
        <f>PROPER(TRIM('raw data'!D865))</f>
        <v>Standard</v>
      </c>
      <c r="E865" s="7" t="str">
        <f>PROPER(TRIM('raw data'!E865))</f>
        <v>Completed</v>
      </c>
      <c r="F865" s="8">
        <v>71</v>
      </c>
      <c r="G865" s="8">
        <v>71</v>
      </c>
      <c r="H865" s="8">
        <v>80</v>
      </c>
      <c r="I865">
        <f t="shared" si="39"/>
        <v>222</v>
      </c>
      <c r="J865">
        <f t="shared" si="40"/>
        <v>74</v>
      </c>
      <c r="K865" s="7" t="str">
        <f t="shared" si="41"/>
        <v>pass</v>
      </c>
    </row>
    <row r="866" spans="1:11" x14ac:dyDescent="0.25">
      <c r="A866" t="str">
        <f>PROPER(TRIM('raw data'!A866))</f>
        <v>Male</v>
      </c>
      <c r="B866" t="str">
        <f>PROPER(TRIM('raw data'!B866))</f>
        <v>Group C</v>
      </c>
      <c r="C866" s="7" t="str">
        <f>PROPER(TRIM('raw data'!C866))</f>
        <v>Associate'S Degree</v>
      </c>
      <c r="D866" s="7" t="str">
        <f>PROPER(TRIM('raw data'!D866))</f>
        <v>Standard</v>
      </c>
      <c r="E866" s="7" t="str">
        <f>PROPER(TRIM('raw data'!E866))</f>
        <v>None</v>
      </c>
      <c r="F866" s="8">
        <v>97</v>
      </c>
      <c r="G866" s="8">
        <v>93</v>
      </c>
      <c r="H866" s="8">
        <v>91</v>
      </c>
      <c r="I866">
        <f t="shared" si="39"/>
        <v>281</v>
      </c>
      <c r="J866">
        <f t="shared" si="40"/>
        <v>93.666666666666671</v>
      </c>
      <c r="K866" s="7" t="str">
        <f t="shared" si="41"/>
        <v>pass</v>
      </c>
    </row>
    <row r="867" spans="1:11" x14ac:dyDescent="0.25">
      <c r="A867" t="str">
        <f>PROPER(TRIM('raw data'!A867))</f>
        <v>Male</v>
      </c>
      <c r="B867" t="str">
        <f>PROPER(TRIM('raw data'!B867))</f>
        <v>Group D</v>
      </c>
      <c r="C867" s="7" t="str">
        <f>PROPER(TRIM('raw data'!C867))</f>
        <v>Some College</v>
      </c>
      <c r="D867" s="7" t="str">
        <f>PROPER(TRIM('raw data'!D867))</f>
        <v>Standard</v>
      </c>
      <c r="E867" s="7" t="str">
        <f>PROPER(TRIM('raw data'!E867))</f>
        <v>Completed</v>
      </c>
      <c r="F867" s="8">
        <v>82</v>
      </c>
      <c r="G867" s="8">
        <v>82</v>
      </c>
      <c r="H867" s="8">
        <v>88</v>
      </c>
      <c r="I867">
        <f t="shared" si="39"/>
        <v>252</v>
      </c>
      <c r="J867">
        <f t="shared" si="40"/>
        <v>84</v>
      </c>
      <c r="K867" s="7" t="str">
        <f t="shared" si="41"/>
        <v>pass</v>
      </c>
    </row>
    <row r="868" spans="1:11" x14ac:dyDescent="0.25">
      <c r="A868" t="str">
        <f>PROPER(TRIM('raw data'!A868))</f>
        <v>Male</v>
      </c>
      <c r="B868" t="str">
        <f>PROPER(TRIM('raw data'!B868))</f>
        <v>Group C</v>
      </c>
      <c r="C868" s="7" t="str">
        <f>PROPER(TRIM('raw data'!C868))</f>
        <v>High School</v>
      </c>
      <c r="D868" s="7" t="str">
        <f>PROPER(TRIM('raw data'!D868))</f>
        <v>Free/Reduced</v>
      </c>
      <c r="E868" s="7" t="str">
        <f>PROPER(TRIM('raw data'!E868))</f>
        <v>None</v>
      </c>
      <c r="F868" s="8">
        <v>59</v>
      </c>
      <c r="G868" s="8">
        <v>53</v>
      </c>
      <c r="H868" s="8">
        <v>52</v>
      </c>
      <c r="I868">
        <f t="shared" si="39"/>
        <v>164</v>
      </c>
      <c r="J868">
        <f t="shared" si="40"/>
        <v>54.666666666666664</v>
      </c>
      <c r="K868" s="7" t="str">
        <f t="shared" si="41"/>
        <v>pass</v>
      </c>
    </row>
    <row r="869" spans="1:11" x14ac:dyDescent="0.25">
      <c r="A869" t="str">
        <f>PROPER(TRIM('raw data'!A869))</f>
        <v>Male</v>
      </c>
      <c r="B869" t="str">
        <f>PROPER(TRIM('raw data'!B869))</f>
        <v>Group B</v>
      </c>
      <c r="C869" s="7" t="str">
        <f>PROPER(TRIM('raw data'!C869))</f>
        <v>Associate'S Degree</v>
      </c>
      <c r="D869" s="7" t="str">
        <f>PROPER(TRIM('raw data'!D869))</f>
        <v>Standard</v>
      </c>
      <c r="E869" s="7" t="str">
        <f>PROPER(TRIM('raw data'!E869))</f>
        <v>None</v>
      </c>
      <c r="F869" s="8">
        <v>61</v>
      </c>
      <c r="G869" s="8">
        <v>42</v>
      </c>
      <c r="H869" s="8">
        <v>41</v>
      </c>
      <c r="I869">
        <f t="shared" si="39"/>
        <v>144</v>
      </c>
      <c r="J869">
        <f t="shared" si="40"/>
        <v>48</v>
      </c>
      <c r="K869" s="7" t="str">
        <f t="shared" si="41"/>
        <v>pass</v>
      </c>
    </row>
    <row r="870" spans="1:11" x14ac:dyDescent="0.25">
      <c r="A870" t="str">
        <f>PROPER(TRIM('raw data'!A870))</f>
        <v>Male</v>
      </c>
      <c r="B870" t="str">
        <f>PROPER(TRIM('raw data'!B870))</f>
        <v>Group E</v>
      </c>
      <c r="C870" s="7" t="str">
        <f>PROPER(TRIM('raw data'!C870))</f>
        <v>Associate'S Degree</v>
      </c>
      <c r="D870" s="7" t="str">
        <f>PROPER(TRIM('raw data'!D870))</f>
        <v>Free/Reduced</v>
      </c>
      <c r="E870" s="7" t="str">
        <f>PROPER(TRIM('raw data'!E870))</f>
        <v>Completed</v>
      </c>
      <c r="F870" s="8">
        <v>78</v>
      </c>
      <c r="G870" s="8">
        <v>74</v>
      </c>
      <c r="H870" s="8">
        <v>72</v>
      </c>
      <c r="I870">
        <f t="shared" si="39"/>
        <v>224</v>
      </c>
      <c r="J870">
        <f t="shared" si="40"/>
        <v>74.666666666666671</v>
      </c>
      <c r="K870" s="7" t="str">
        <f t="shared" si="41"/>
        <v>pass</v>
      </c>
    </row>
    <row r="871" spans="1:11" x14ac:dyDescent="0.25">
      <c r="A871" t="str">
        <f>PROPER(TRIM('raw data'!A871))</f>
        <v>Male</v>
      </c>
      <c r="B871" t="str">
        <f>PROPER(TRIM('raw data'!B871))</f>
        <v>Group C</v>
      </c>
      <c r="C871" s="7" t="str">
        <f>PROPER(TRIM('raw data'!C871))</f>
        <v>Associate'S Degree</v>
      </c>
      <c r="D871" s="7" t="str">
        <f>PROPER(TRIM('raw data'!D871))</f>
        <v>Free/Reduced</v>
      </c>
      <c r="E871" s="7" t="str">
        <f>PROPER(TRIM('raw data'!E871))</f>
        <v>None</v>
      </c>
      <c r="F871" s="8">
        <v>49</v>
      </c>
      <c r="G871" s="8">
        <v>51</v>
      </c>
      <c r="H871" s="8">
        <v>51</v>
      </c>
      <c r="I871">
        <f t="shared" si="39"/>
        <v>151</v>
      </c>
      <c r="J871">
        <f t="shared" si="40"/>
        <v>50.333333333333336</v>
      </c>
      <c r="K871" s="7" t="str">
        <f t="shared" si="41"/>
        <v>pass</v>
      </c>
    </row>
    <row r="872" spans="1:11" x14ac:dyDescent="0.25">
      <c r="A872" t="str">
        <f>PROPER(TRIM('raw data'!A872))</f>
        <v>Male</v>
      </c>
      <c r="B872" t="str">
        <f>PROPER(TRIM('raw data'!B872))</f>
        <v>Group B</v>
      </c>
      <c r="C872" s="7" t="str">
        <f>PROPER(TRIM('raw data'!C872))</f>
        <v>High School</v>
      </c>
      <c r="D872" s="7" t="str">
        <f>PROPER(TRIM('raw data'!D872))</f>
        <v>Standard</v>
      </c>
      <c r="E872" s="7" t="str">
        <f>PROPER(TRIM('raw data'!E872))</f>
        <v>None</v>
      </c>
      <c r="F872" s="8">
        <v>59</v>
      </c>
      <c r="G872" s="8">
        <v>58</v>
      </c>
      <c r="H872" s="8">
        <v>47</v>
      </c>
      <c r="I872">
        <f t="shared" si="39"/>
        <v>164</v>
      </c>
      <c r="J872">
        <f t="shared" si="40"/>
        <v>54.666666666666664</v>
      </c>
      <c r="K872" s="7" t="str">
        <f t="shared" si="41"/>
        <v>pass</v>
      </c>
    </row>
    <row r="873" spans="1:11" x14ac:dyDescent="0.25">
      <c r="A873" t="str">
        <f>PROPER(TRIM('raw data'!A873))</f>
        <v>Female</v>
      </c>
      <c r="B873" t="str">
        <f>PROPER(TRIM('raw data'!B873))</f>
        <v>Group C</v>
      </c>
      <c r="C873" s="7" t="str">
        <f>PROPER(TRIM('raw data'!C873))</f>
        <v>Some College</v>
      </c>
      <c r="D873" s="7" t="str">
        <f>PROPER(TRIM('raw data'!D873))</f>
        <v>Standard</v>
      </c>
      <c r="E873" s="7" t="str">
        <f>PROPER(TRIM('raw data'!E873))</f>
        <v>Completed</v>
      </c>
      <c r="F873" s="8">
        <v>70</v>
      </c>
      <c r="G873" s="8">
        <v>72</v>
      </c>
      <c r="H873" s="8">
        <v>76</v>
      </c>
      <c r="I873">
        <f t="shared" si="39"/>
        <v>218</v>
      </c>
      <c r="J873">
        <f t="shared" si="40"/>
        <v>72.666666666666671</v>
      </c>
      <c r="K873" s="7" t="str">
        <f t="shared" si="41"/>
        <v>pass</v>
      </c>
    </row>
    <row r="874" spans="1:11" x14ac:dyDescent="0.25">
      <c r="A874" t="str">
        <f>PROPER(TRIM('raw data'!A874))</f>
        <v>Male</v>
      </c>
      <c r="B874" t="str">
        <f>PROPER(TRIM('raw data'!B874))</f>
        <v>Group B</v>
      </c>
      <c r="C874" s="7" t="str">
        <f>PROPER(TRIM('raw data'!C874))</f>
        <v>Associate'S Degree</v>
      </c>
      <c r="D874" s="7" t="str">
        <f>PROPER(TRIM('raw data'!D874))</f>
        <v>Standard</v>
      </c>
      <c r="E874" s="7" t="str">
        <f>PROPER(TRIM('raw data'!E874))</f>
        <v>Completed</v>
      </c>
      <c r="F874" s="8">
        <v>82</v>
      </c>
      <c r="G874" s="8">
        <v>84</v>
      </c>
      <c r="H874" s="8">
        <v>78</v>
      </c>
      <c r="I874">
        <f t="shared" si="39"/>
        <v>244</v>
      </c>
      <c r="J874">
        <f t="shared" si="40"/>
        <v>81.333333333333329</v>
      </c>
      <c r="K874" s="7" t="str">
        <f t="shared" si="41"/>
        <v>pass</v>
      </c>
    </row>
    <row r="875" spans="1:11" x14ac:dyDescent="0.25">
      <c r="A875" t="str">
        <f>PROPER(TRIM('raw data'!A875))</f>
        <v>Male</v>
      </c>
      <c r="B875" t="str">
        <f>PROPER(TRIM('raw data'!B875))</f>
        <v>Group E</v>
      </c>
      <c r="C875" s="7" t="str">
        <f>PROPER(TRIM('raw data'!C875))</f>
        <v>Associate'S Degree</v>
      </c>
      <c r="D875" s="7" t="str">
        <f>PROPER(TRIM('raw data'!D875))</f>
        <v>Free/Reduced</v>
      </c>
      <c r="E875" s="7" t="str">
        <f>PROPER(TRIM('raw data'!E875))</f>
        <v>None</v>
      </c>
      <c r="F875" s="8">
        <v>90</v>
      </c>
      <c r="G875" s="8">
        <v>90</v>
      </c>
      <c r="H875" s="8">
        <v>82</v>
      </c>
      <c r="I875">
        <f t="shared" si="39"/>
        <v>262</v>
      </c>
      <c r="J875">
        <f t="shared" si="40"/>
        <v>87.333333333333329</v>
      </c>
      <c r="K875" s="7" t="str">
        <f t="shared" si="41"/>
        <v>pass</v>
      </c>
    </row>
    <row r="876" spans="1:11" x14ac:dyDescent="0.25">
      <c r="A876" t="str">
        <f>PROPER(TRIM('raw data'!A876))</f>
        <v>Female</v>
      </c>
      <c r="B876" t="str">
        <f>PROPER(TRIM('raw data'!B876))</f>
        <v>Group C</v>
      </c>
      <c r="C876" s="7" t="str">
        <f>PROPER(TRIM('raw data'!C876))</f>
        <v>Bachelor'S Degree</v>
      </c>
      <c r="D876" s="7" t="str">
        <f>PROPER(TRIM('raw data'!D876))</f>
        <v>Free/Reduced</v>
      </c>
      <c r="E876" s="7" t="str">
        <f>PROPER(TRIM('raw data'!E876))</f>
        <v>None</v>
      </c>
      <c r="F876" s="8">
        <v>43</v>
      </c>
      <c r="G876" s="8">
        <v>62</v>
      </c>
      <c r="H876" s="8">
        <v>61</v>
      </c>
      <c r="I876">
        <f t="shared" si="39"/>
        <v>166</v>
      </c>
      <c r="J876">
        <f t="shared" si="40"/>
        <v>55.333333333333336</v>
      </c>
      <c r="K876" s="7" t="str">
        <f t="shared" si="41"/>
        <v>pass</v>
      </c>
    </row>
    <row r="877" spans="1:11" x14ac:dyDescent="0.25">
      <c r="A877" t="str">
        <f>PROPER(TRIM('raw data'!A877))</f>
        <v>Male</v>
      </c>
      <c r="B877" t="str">
        <f>PROPER(TRIM('raw data'!B877))</f>
        <v>Group C</v>
      </c>
      <c r="C877" s="7" t="str">
        <f>PROPER(TRIM('raw data'!C877))</f>
        <v>Some College</v>
      </c>
      <c r="D877" s="7" t="str">
        <f>PROPER(TRIM('raw data'!D877))</f>
        <v>Free/Reduced</v>
      </c>
      <c r="E877" s="7" t="str">
        <f>PROPER(TRIM('raw data'!E877))</f>
        <v>None</v>
      </c>
      <c r="F877" s="8">
        <v>80</v>
      </c>
      <c r="G877" s="8">
        <v>64</v>
      </c>
      <c r="H877" s="8">
        <v>66</v>
      </c>
      <c r="I877">
        <f t="shared" si="39"/>
        <v>210</v>
      </c>
      <c r="J877">
        <f t="shared" si="40"/>
        <v>70</v>
      </c>
      <c r="K877" s="7" t="str">
        <f t="shared" si="41"/>
        <v>pass</v>
      </c>
    </row>
    <row r="878" spans="1:11" x14ac:dyDescent="0.25">
      <c r="A878" t="str">
        <f>PROPER(TRIM('raw data'!A878))</f>
        <v>Male</v>
      </c>
      <c r="B878" t="str">
        <f>PROPER(TRIM('raw data'!B878))</f>
        <v>Group D</v>
      </c>
      <c r="C878" s="7" t="str">
        <f>PROPER(TRIM('raw data'!C878))</f>
        <v>Some College</v>
      </c>
      <c r="D878" s="7" t="str">
        <f>PROPER(TRIM('raw data'!D878))</f>
        <v>Standard</v>
      </c>
      <c r="E878" s="7" t="str">
        <f>PROPER(TRIM('raw data'!E878))</f>
        <v>None</v>
      </c>
      <c r="F878" s="8">
        <v>81</v>
      </c>
      <c r="G878" s="8">
        <v>82</v>
      </c>
      <c r="H878" s="8">
        <v>84</v>
      </c>
      <c r="I878">
        <f t="shared" si="39"/>
        <v>247</v>
      </c>
      <c r="J878">
        <f t="shared" si="40"/>
        <v>82.333333333333329</v>
      </c>
      <c r="K878" s="7" t="str">
        <f t="shared" si="41"/>
        <v>pass</v>
      </c>
    </row>
    <row r="879" spans="1:11" x14ac:dyDescent="0.25">
      <c r="A879" t="str">
        <f>PROPER(TRIM('raw data'!A879))</f>
        <v>Male</v>
      </c>
      <c r="B879" t="str">
        <f>PROPER(TRIM('raw data'!B879))</f>
        <v>Group C</v>
      </c>
      <c r="C879" s="7" t="str">
        <f>PROPER(TRIM('raw data'!C879))</f>
        <v>Some High School</v>
      </c>
      <c r="D879" s="7" t="str">
        <f>PROPER(TRIM('raw data'!D879))</f>
        <v>Standard</v>
      </c>
      <c r="E879" s="7" t="str">
        <f>PROPER(TRIM('raw data'!E879))</f>
        <v>None</v>
      </c>
      <c r="F879" s="8">
        <v>57</v>
      </c>
      <c r="G879" s="8">
        <v>61</v>
      </c>
      <c r="H879" s="8">
        <v>54</v>
      </c>
      <c r="I879">
        <f t="shared" si="39"/>
        <v>172</v>
      </c>
      <c r="J879">
        <f t="shared" si="40"/>
        <v>57.333333333333336</v>
      </c>
      <c r="K879" s="7" t="str">
        <f t="shared" si="41"/>
        <v>pass</v>
      </c>
    </row>
    <row r="880" spans="1:11" x14ac:dyDescent="0.25">
      <c r="A880" t="str">
        <f>PROPER(TRIM('raw data'!A880))</f>
        <v>Female</v>
      </c>
      <c r="B880" t="str">
        <f>PROPER(TRIM('raw data'!B880))</f>
        <v>Group D</v>
      </c>
      <c r="C880" s="7" t="str">
        <f>PROPER(TRIM('raw data'!C880))</f>
        <v>Some High School</v>
      </c>
      <c r="D880" s="7" t="str">
        <f>PROPER(TRIM('raw data'!D880))</f>
        <v>Standard</v>
      </c>
      <c r="E880" s="7" t="str">
        <f>PROPER(TRIM('raw data'!E880))</f>
        <v>None</v>
      </c>
      <c r="F880" s="8">
        <v>59</v>
      </c>
      <c r="G880" s="8">
        <v>72</v>
      </c>
      <c r="H880" s="8">
        <v>80</v>
      </c>
      <c r="I880">
        <f t="shared" si="39"/>
        <v>211</v>
      </c>
      <c r="J880">
        <f t="shared" si="40"/>
        <v>70.333333333333329</v>
      </c>
      <c r="K880" s="7" t="str">
        <f t="shared" si="41"/>
        <v>pass</v>
      </c>
    </row>
    <row r="881" spans="1:11" x14ac:dyDescent="0.25">
      <c r="A881" t="str">
        <f>PROPER(TRIM('raw data'!A881))</f>
        <v>Female</v>
      </c>
      <c r="B881" t="str">
        <f>PROPER(TRIM('raw data'!B881))</f>
        <v>Group D</v>
      </c>
      <c r="C881" s="7" t="str">
        <f>PROPER(TRIM('raw data'!C881))</f>
        <v>Associate'S Degree</v>
      </c>
      <c r="D881" s="7" t="str">
        <f>PROPER(TRIM('raw data'!D881))</f>
        <v>Standard</v>
      </c>
      <c r="E881" s="7" t="str">
        <f>PROPER(TRIM('raw data'!E881))</f>
        <v>None</v>
      </c>
      <c r="F881" s="8">
        <v>64</v>
      </c>
      <c r="G881" s="8">
        <v>76</v>
      </c>
      <c r="H881" s="8">
        <v>74</v>
      </c>
      <c r="I881">
        <f t="shared" si="39"/>
        <v>214</v>
      </c>
      <c r="J881">
        <f t="shared" si="40"/>
        <v>71.333333333333329</v>
      </c>
      <c r="K881" s="7" t="str">
        <f t="shared" si="41"/>
        <v>pass</v>
      </c>
    </row>
    <row r="882" spans="1:11" x14ac:dyDescent="0.25">
      <c r="A882" t="str">
        <f>PROPER(TRIM('raw data'!A882))</f>
        <v>Male</v>
      </c>
      <c r="B882" t="str">
        <f>PROPER(TRIM('raw data'!B882))</f>
        <v>Group C</v>
      </c>
      <c r="C882" s="7" t="str">
        <f>PROPER(TRIM('raw data'!C882))</f>
        <v>Bachelor'S Degree</v>
      </c>
      <c r="D882" s="7" t="str">
        <f>PROPER(TRIM('raw data'!D882))</f>
        <v>Standard</v>
      </c>
      <c r="E882" s="7" t="str">
        <f>PROPER(TRIM('raw data'!E882))</f>
        <v>Completed</v>
      </c>
      <c r="F882" s="8">
        <v>63</v>
      </c>
      <c r="G882" s="8">
        <v>64</v>
      </c>
      <c r="H882" s="8">
        <v>66</v>
      </c>
      <c r="I882">
        <f t="shared" si="39"/>
        <v>193</v>
      </c>
      <c r="J882">
        <f t="shared" si="40"/>
        <v>64.333333333333329</v>
      </c>
      <c r="K882" s="7" t="str">
        <f t="shared" si="41"/>
        <v>pass</v>
      </c>
    </row>
    <row r="883" spans="1:11" x14ac:dyDescent="0.25">
      <c r="A883" t="str">
        <f>PROPER(TRIM('raw data'!A883))</f>
        <v>Female</v>
      </c>
      <c r="B883" t="str">
        <f>PROPER(TRIM('raw data'!B883))</f>
        <v>Group E</v>
      </c>
      <c r="C883" s="7" t="str">
        <f>PROPER(TRIM('raw data'!C883))</f>
        <v>Bachelor'S Degree</v>
      </c>
      <c r="D883" s="7" t="str">
        <f>PROPER(TRIM('raw data'!D883))</f>
        <v>Standard</v>
      </c>
      <c r="E883" s="7" t="str">
        <f>PROPER(TRIM('raw data'!E883))</f>
        <v>Completed</v>
      </c>
      <c r="F883" s="8">
        <v>71</v>
      </c>
      <c r="G883" s="8">
        <v>70</v>
      </c>
      <c r="H883" s="8">
        <v>70</v>
      </c>
      <c r="I883">
        <f t="shared" si="39"/>
        <v>211</v>
      </c>
      <c r="J883">
        <f t="shared" si="40"/>
        <v>70.333333333333329</v>
      </c>
      <c r="K883" s="7" t="str">
        <f t="shared" si="41"/>
        <v>pass</v>
      </c>
    </row>
    <row r="884" spans="1:11" x14ac:dyDescent="0.25">
      <c r="A884" t="str">
        <f>PROPER(TRIM('raw data'!A884))</f>
        <v>Female</v>
      </c>
      <c r="B884" t="str">
        <f>PROPER(TRIM('raw data'!B884))</f>
        <v>Group B</v>
      </c>
      <c r="C884" s="7" t="str">
        <f>PROPER(TRIM('raw data'!C884))</f>
        <v>High School</v>
      </c>
      <c r="D884" s="7" t="str">
        <f>PROPER(TRIM('raw data'!D884))</f>
        <v>Free/Reduced</v>
      </c>
      <c r="E884" s="7" t="str">
        <f>PROPER(TRIM('raw data'!E884))</f>
        <v>None</v>
      </c>
      <c r="F884" s="8">
        <v>64</v>
      </c>
      <c r="G884" s="8">
        <v>73</v>
      </c>
      <c r="H884" s="8">
        <v>71</v>
      </c>
      <c r="I884">
        <f t="shared" si="39"/>
        <v>208</v>
      </c>
      <c r="J884">
        <f t="shared" si="40"/>
        <v>69.333333333333329</v>
      </c>
      <c r="K884" s="7" t="str">
        <f t="shared" si="41"/>
        <v>pass</v>
      </c>
    </row>
    <row r="885" spans="1:11" x14ac:dyDescent="0.25">
      <c r="A885" t="str">
        <f>PROPER(TRIM('raw data'!A885))</f>
        <v>Male</v>
      </c>
      <c r="B885" t="str">
        <f>PROPER(TRIM('raw data'!B885))</f>
        <v>Group D</v>
      </c>
      <c r="C885" s="7" t="str">
        <f>PROPER(TRIM('raw data'!C885))</f>
        <v>Bachelor'S Degree</v>
      </c>
      <c r="D885" s="7" t="str">
        <f>PROPER(TRIM('raw data'!D885))</f>
        <v>Free/Reduced</v>
      </c>
      <c r="E885" s="7" t="str">
        <f>PROPER(TRIM('raw data'!E885))</f>
        <v>None</v>
      </c>
      <c r="F885" s="8">
        <v>55</v>
      </c>
      <c r="G885" s="8">
        <v>46</v>
      </c>
      <c r="H885" s="8">
        <v>44</v>
      </c>
      <c r="I885">
        <f t="shared" si="39"/>
        <v>145</v>
      </c>
      <c r="J885">
        <f t="shared" si="40"/>
        <v>48.333333333333336</v>
      </c>
      <c r="K885" s="7" t="str">
        <f t="shared" si="41"/>
        <v>pass</v>
      </c>
    </row>
    <row r="886" spans="1:11" x14ac:dyDescent="0.25">
      <c r="A886" t="str">
        <f>PROPER(TRIM('raw data'!A886))</f>
        <v>Female</v>
      </c>
      <c r="B886" t="str">
        <f>PROPER(TRIM('raw data'!B886))</f>
        <v>Group E</v>
      </c>
      <c r="C886" s="7" t="str">
        <f>PROPER(TRIM('raw data'!C886))</f>
        <v>Associate'S Degree</v>
      </c>
      <c r="D886" s="7" t="str">
        <f>PROPER(TRIM('raw data'!D886))</f>
        <v>Standard</v>
      </c>
      <c r="E886" s="7" t="str">
        <f>PROPER(TRIM('raw data'!E886))</f>
        <v>None</v>
      </c>
      <c r="F886" s="8">
        <v>51</v>
      </c>
      <c r="G886" s="8">
        <v>51</v>
      </c>
      <c r="H886" s="8">
        <v>54</v>
      </c>
      <c r="I886">
        <f t="shared" si="39"/>
        <v>156</v>
      </c>
      <c r="J886">
        <f t="shared" si="40"/>
        <v>52</v>
      </c>
      <c r="K886" s="7" t="str">
        <f t="shared" si="41"/>
        <v>pass</v>
      </c>
    </row>
    <row r="887" spans="1:11" x14ac:dyDescent="0.25">
      <c r="A887" t="str">
        <f>PROPER(TRIM('raw data'!A887))</f>
        <v>Female</v>
      </c>
      <c r="B887" t="str">
        <f>PROPER(TRIM('raw data'!B887))</f>
        <v>Group C</v>
      </c>
      <c r="C887" s="7" t="str">
        <f>PROPER(TRIM('raw data'!C887))</f>
        <v>Associate'S Degree</v>
      </c>
      <c r="D887" s="7" t="str">
        <f>PROPER(TRIM('raw data'!D887))</f>
        <v>Standard</v>
      </c>
      <c r="E887" s="7" t="str">
        <f>PROPER(TRIM('raw data'!E887))</f>
        <v>Completed</v>
      </c>
      <c r="F887" s="8">
        <v>62</v>
      </c>
      <c r="G887" s="8">
        <v>76</v>
      </c>
      <c r="H887" s="8">
        <v>80</v>
      </c>
      <c r="I887">
        <f t="shared" si="39"/>
        <v>218</v>
      </c>
      <c r="J887">
        <f t="shared" si="40"/>
        <v>72.666666666666671</v>
      </c>
      <c r="K887" s="7" t="str">
        <f t="shared" si="41"/>
        <v>pass</v>
      </c>
    </row>
    <row r="888" spans="1:11" x14ac:dyDescent="0.25">
      <c r="A888" t="str">
        <f>PROPER(TRIM('raw data'!A888))</f>
        <v>Female</v>
      </c>
      <c r="B888" t="str">
        <f>PROPER(TRIM('raw data'!B888))</f>
        <v>Group E</v>
      </c>
      <c r="C888" s="7" t="str">
        <f>PROPER(TRIM('raw data'!C888))</f>
        <v>Associate'S Degree</v>
      </c>
      <c r="D888" s="7" t="str">
        <f>PROPER(TRIM('raw data'!D888))</f>
        <v>Standard</v>
      </c>
      <c r="E888" s="7" t="str">
        <f>PROPER(TRIM('raw data'!E888))</f>
        <v>Completed</v>
      </c>
      <c r="F888" s="8">
        <v>93</v>
      </c>
      <c r="G888" s="8">
        <v>100</v>
      </c>
      <c r="H888" s="8">
        <v>95</v>
      </c>
      <c r="I888">
        <f t="shared" si="39"/>
        <v>288</v>
      </c>
      <c r="J888">
        <f t="shared" si="40"/>
        <v>96</v>
      </c>
      <c r="K888" s="7" t="str">
        <f t="shared" si="41"/>
        <v>pass</v>
      </c>
    </row>
    <row r="889" spans="1:11" x14ac:dyDescent="0.25">
      <c r="A889" t="str">
        <f>PROPER(TRIM('raw data'!A889))</f>
        <v>Male</v>
      </c>
      <c r="B889" t="str">
        <f>PROPER(TRIM('raw data'!B889))</f>
        <v>Group C</v>
      </c>
      <c r="C889" s="7" t="str">
        <f>PROPER(TRIM('raw data'!C889))</f>
        <v>High School</v>
      </c>
      <c r="D889" s="7" t="str">
        <f>PROPER(TRIM('raw data'!D889))</f>
        <v>Free/Reduced</v>
      </c>
      <c r="E889" s="7" t="str">
        <f>PROPER(TRIM('raw data'!E889))</f>
        <v>None</v>
      </c>
      <c r="F889" s="8">
        <v>54</v>
      </c>
      <c r="G889" s="8">
        <v>72</v>
      </c>
      <c r="H889" s="8">
        <v>59</v>
      </c>
      <c r="I889">
        <f t="shared" si="39"/>
        <v>185</v>
      </c>
      <c r="J889">
        <f t="shared" si="40"/>
        <v>61.666666666666664</v>
      </c>
      <c r="K889" s="7" t="str">
        <f t="shared" si="41"/>
        <v>pass</v>
      </c>
    </row>
    <row r="890" spans="1:11" x14ac:dyDescent="0.25">
      <c r="A890" t="str">
        <f>PROPER(TRIM('raw data'!A890))</f>
        <v>Female</v>
      </c>
      <c r="B890" t="str">
        <f>PROPER(TRIM('raw data'!B890))</f>
        <v>Group D</v>
      </c>
      <c r="C890" s="7" t="str">
        <f>PROPER(TRIM('raw data'!C890))</f>
        <v>Some College</v>
      </c>
      <c r="D890" s="7" t="str">
        <f>PROPER(TRIM('raw data'!D890))</f>
        <v>Free/Reduced</v>
      </c>
      <c r="E890" s="7" t="str">
        <f>PROPER(TRIM('raw data'!E890))</f>
        <v>None</v>
      </c>
      <c r="F890" s="8">
        <v>69</v>
      </c>
      <c r="G890" s="8">
        <v>65</v>
      </c>
      <c r="H890" s="8">
        <v>74</v>
      </c>
      <c r="I890">
        <f t="shared" si="39"/>
        <v>208</v>
      </c>
      <c r="J890">
        <f t="shared" si="40"/>
        <v>69.333333333333329</v>
      </c>
      <c r="K890" s="7" t="str">
        <f t="shared" si="41"/>
        <v>pass</v>
      </c>
    </row>
    <row r="891" spans="1:11" x14ac:dyDescent="0.25">
      <c r="A891" t="str">
        <f>PROPER(TRIM('raw data'!A891))</f>
        <v>Male</v>
      </c>
      <c r="B891" t="str">
        <f>PROPER(TRIM('raw data'!B891))</f>
        <v>Group D</v>
      </c>
      <c r="C891" s="7" t="str">
        <f>PROPER(TRIM('raw data'!C891))</f>
        <v>High School</v>
      </c>
      <c r="D891" s="7" t="str">
        <f>PROPER(TRIM('raw data'!D891))</f>
        <v>Free/Reduced</v>
      </c>
      <c r="E891" s="7" t="str">
        <f>PROPER(TRIM('raw data'!E891))</f>
        <v>None</v>
      </c>
      <c r="F891" s="8">
        <v>44</v>
      </c>
      <c r="G891" s="8">
        <v>51</v>
      </c>
      <c r="H891" s="8">
        <v>48</v>
      </c>
      <c r="I891">
        <f t="shared" si="39"/>
        <v>143</v>
      </c>
      <c r="J891">
        <f t="shared" si="40"/>
        <v>47.666666666666664</v>
      </c>
      <c r="K891" s="7" t="str">
        <f t="shared" si="41"/>
        <v>pass</v>
      </c>
    </row>
    <row r="892" spans="1:11" x14ac:dyDescent="0.25">
      <c r="A892" t="str">
        <f>PROPER(TRIM('raw data'!A892))</f>
        <v>Female</v>
      </c>
      <c r="B892" t="str">
        <f>PROPER(TRIM('raw data'!B892))</f>
        <v>Group E</v>
      </c>
      <c r="C892" s="7" t="str">
        <f>PROPER(TRIM('raw data'!C892))</f>
        <v>Some College</v>
      </c>
      <c r="D892" s="7" t="str">
        <f>PROPER(TRIM('raw data'!D892))</f>
        <v>Standard</v>
      </c>
      <c r="E892" s="7" t="str">
        <f>PROPER(TRIM('raw data'!E892))</f>
        <v>Completed</v>
      </c>
      <c r="F892" s="8">
        <v>86</v>
      </c>
      <c r="G892" s="8">
        <v>85</v>
      </c>
      <c r="H892" s="8">
        <v>91</v>
      </c>
      <c r="I892">
        <f t="shared" si="39"/>
        <v>262</v>
      </c>
      <c r="J892">
        <f t="shared" si="40"/>
        <v>87.333333333333329</v>
      </c>
      <c r="K892" s="7" t="str">
        <f t="shared" si="41"/>
        <v>pass</v>
      </c>
    </row>
    <row r="893" spans="1:11" x14ac:dyDescent="0.25">
      <c r="A893" t="str">
        <f>PROPER(TRIM('raw data'!A893))</f>
        <v>Female</v>
      </c>
      <c r="B893" t="str">
        <f>PROPER(TRIM('raw data'!B893))</f>
        <v>Group E</v>
      </c>
      <c r="C893" s="7" t="str">
        <f>PROPER(TRIM('raw data'!C893))</f>
        <v>Associate'S Degree</v>
      </c>
      <c r="D893" s="7" t="str">
        <f>PROPER(TRIM('raw data'!D893))</f>
        <v>Standard</v>
      </c>
      <c r="E893" s="7" t="str">
        <f>PROPER(TRIM('raw data'!E893))</f>
        <v>None</v>
      </c>
      <c r="F893" s="8">
        <v>85</v>
      </c>
      <c r="G893" s="8">
        <v>92</v>
      </c>
      <c r="H893" s="8">
        <v>85</v>
      </c>
      <c r="I893">
        <f t="shared" si="39"/>
        <v>262</v>
      </c>
      <c r="J893">
        <f t="shared" si="40"/>
        <v>87.333333333333329</v>
      </c>
      <c r="K893" s="7" t="str">
        <f t="shared" si="41"/>
        <v>pass</v>
      </c>
    </row>
    <row r="894" spans="1:11" x14ac:dyDescent="0.25">
      <c r="A894" t="str">
        <f>PROPER(TRIM('raw data'!A894))</f>
        <v>Female</v>
      </c>
      <c r="B894" t="str">
        <f>PROPER(TRIM('raw data'!B894))</f>
        <v>Group A</v>
      </c>
      <c r="C894" s="7" t="str">
        <f>PROPER(TRIM('raw data'!C894))</f>
        <v>Master'S Degree</v>
      </c>
      <c r="D894" s="7" t="str">
        <f>PROPER(TRIM('raw data'!D894))</f>
        <v>Free/Reduced</v>
      </c>
      <c r="E894" s="7" t="str">
        <f>PROPER(TRIM('raw data'!E894))</f>
        <v>None</v>
      </c>
      <c r="F894" s="8">
        <v>50</v>
      </c>
      <c r="G894" s="8">
        <v>67</v>
      </c>
      <c r="H894" s="8">
        <v>73</v>
      </c>
      <c r="I894">
        <f t="shared" si="39"/>
        <v>190</v>
      </c>
      <c r="J894">
        <f t="shared" si="40"/>
        <v>63.333333333333336</v>
      </c>
      <c r="K894" s="7" t="str">
        <f t="shared" si="41"/>
        <v>pass</v>
      </c>
    </row>
    <row r="895" spans="1:11" x14ac:dyDescent="0.25">
      <c r="A895" t="str">
        <f>PROPER(TRIM('raw data'!A895))</f>
        <v>Male</v>
      </c>
      <c r="B895" t="str">
        <f>PROPER(TRIM('raw data'!B895))</f>
        <v>Group D</v>
      </c>
      <c r="C895" s="7" t="str">
        <f>PROPER(TRIM('raw data'!C895))</f>
        <v>Some High School</v>
      </c>
      <c r="D895" s="7" t="str">
        <f>PROPER(TRIM('raw data'!D895))</f>
        <v>Standard</v>
      </c>
      <c r="E895" s="7" t="str">
        <f>PROPER(TRIM('raw data'!E895))</f>
        <v>Completed</v>
      </c>
      <c r="F895" s="8">
        <v>88</v>
      </c>
      <c r="G895" s="8">
        <v>74</v>
      </c>
      <c r="H895" s="8">
        <v>75</v>
      </c>
      <c r="I895">
        <f t="shared" si="39"/>
        <v>237</v>
      </c>
      <c r="J895">
        <f t="shared" si="40"/>
        <v>79</v>
      </c>
      <c r="K895" s="7" t="str">
        <f t="shared" si="41"/>
        <v>pass</v>
      </c>
    </row>
    <row r="896" spans="1:11" x14ac:dyDescent="0.25">
      <c r="A896" t="str">
        <f>PROPER(TRIM('raw data'!A896))</f>
        <v>Female</v>
      </c>
      <c r="B896" t="str">
        <f>PROPER(TRIM('raw data'!B896))</f>
        <v>Group E</v>
      </c>
      <c r="C896" s="7" t="str">
        <f>PROPER(TRIM('raw data'!C896))</f>
        <v>Associate'S Degree</v>
      </c>
      <c r="D896" s="7" t="str">
        <f>PROPER(TRIM('raw data'!D896))</f>
        <v>Standard</v>
      </c>
      <c r="E896" s="7" t="str">
        <f>PROPER(TRIM('raw data'!E896))</f>
        <v>None</v>
      </c>
      <c r="F896" s="8">
        <v>59</v>
      </c>
      <c r="G896" s="8">
        <v>62</v>
      </c>
      <c r="H896" s="8">
        <v>69</v>
      </c>
      <c r="I896">
        <f t="shared" si="39"/>
        <v>190</v>
      </c>
      <c r="J896">
        <f t="shared" si="40"/>
        <v>63.333333333333336</v>
      </c>
      <c r="K896" s="7" t="str">
        <f t="shared" si="41"/>
        <v>pass</v>
      </c>
    </row>
    <row r="897" spans="1:11" x14ac:dyDescent="0.25">
      <c r="A897" t="str">
        <f>PROPER(TRIM('raw data'!A897))</f>
        <v>Female</v>
      </c>
      <c r="B897" t="str">
        <f>PROPER(TRIM('raw data'!B897))</f>
        <v>Group E</v>
      </c>
      <c r="C897" s="7" t="str">
        <f>PROPER(TRIM('raw data'!C897))</f>
        <v>Some High School</v>
      </c>
      <c r="D897" s="7" t="str">
        <f>PROPER(TRIM('raw data'!D897))</f>
        <v>Free/Reduced</v>
      </c>
      <c r="E897" s="7" t="str">
        <f>PROPER(TRIM('raw data'!E897))</f>
        <v>None</v>
      </c>
      <c r="F897" s="8">
        <v>32</v>
      </c>
      <c r="G897" s="8">
        <v>34</v>
      </c>
      <c r="H897" s="8">
        <v>38</v>
      </c>
      <c r="I897">
        <f t="shared" si="39"/>
        <v>104</v>
      </c>
      <c r="J897">
        <f t="shared" si="40"/>
        <v>34.666666666666664</v>
      </c>
      <c r="K897" s="7" t="str">
        <f t="shared" si="41"/>
        <v>fail</v>
      </c>
    </row>
    <row r="898" spans="1:11" x14ac:dyDescent="0.25">
      <c r="A898" t="str">
        <f>PROPER(TRIM('raw data'!A898))</f>
        <v>Male</v>
      </c>
      <c r="B898" t="str">
        <f>PROPER(TRIM('raw data'!B898))</f>
        <v>Group B</v>
      </c>
      <c r="C898" s="7" t="str">
        <f>PROPER(TRIM('raw data'!C898))</f>
        <v>High School</v>
      </c>
      <c r="D898" s="7" t="str">
        <f>PROPER(TRIM('raw data'!D898))</f>
        <v>Free/Reduced</v>
      </c>
      <c r="E898" s="7" t="str">
        <f>PROPER(TRIM('raw data'!E898))</f>
        <v>None</v>
      </c>
      <c r="F898" s="8">
        <v>36</v>
      </c>
      <c r="G898" s="8">
        <v>29</v>
      </c>
      <c r="H898" s="8">
        <v>27</v>
      </c>
      <c r="I898">
        <f t="shared" si="39"/>
        <v>92</v>
      </c>
      <c r="J898">
        <f t="shared" si="40"/>
        <v>30.666666666666668</v>
      </c>
      <c r="K898" s="7" t="str">
        <f t="shared" si="41"/>
        <v>fail</v>
      </c>
    </row>
    <row r="899" spans="1:11" x14ac:dyDescent="0.25">
      <c r="A899" t="str">
        <f>PROPER(TRIM('raw data'!A899))</f>
        <v>Female</v>
      </c>
      <c r="B899" t="str">
        <f>PROPER(TRIM('raw data'!B899))</f>
        <v>Group B</v>
      </c>
      <c r="C899" s="7" t="str">
        <f>PROPER(TRIM('raw data'!C899))</f>
        <v>Some High School</v>
      </c>
      <c r="D899" s="7" t="str">
        <f>PROPER(TRIM('raw data'!D899))</f>
        <v>Free/Reduced</v>
      </c>
      <c r="E899" s="7" t="str">
        <f>PROPER(TRIM('raw data'!E899))</f>
        <v>Completed</v>
      </c>
      <c r="F899" s="8">
        <v>63</v>
      </c>
      <c r="G899" s="8">
        <v>78</v>
      </c>
      <c r="H899" s="8">
        <v>79</v>
      </c>
      <c r="I899">
        <f t="shared" ref="I899:I962" si="42">F899+G899+H899</f>
        <v>220</v>
      </c>
      <c r="J899">
        <f t="shared" ref="J899:J962" si="43">I899/3</f>
        <v>73.333333333333329</v>
      </c>
      <c r="K899" s="7" t="str">
        <f t="shared" ref="K899:K962" si="44">IF(J899&gt;=40,"pass","fail")</f>
        <v>pass</v>
      </c>
    </row>
    <row r="900" spans="1:11" x14ac:dyDescent="0.25">
      <c r="A900" t="str">
        <f>PROPER(TRIM('raw data'!A900))</f>
        <v>Male</v>
      </c>
      <c r="B900" t="str">
        <f>PROPER(TRIM('raw data'!B900))</f>
        <v>Group D</v>
      </c>
      <c r="C900" s="7" t="str">
        <f>PROPER(TRIM('raw data'!C900))</f>
        <v>Associate'S Degree</v>
      </c>
      <c r="D900" s="7" t="str">
        <f>PROPER(TRIM('raw data'!D900))</f>
        <v>Standard</v>
      </c>
      <c r="E900" s="7" t="str">
        <f>PROPER(TRIM('raw data'!E900))</f>
        <v>Completed</v>
      </c>
      <c r="F900" s="8">
        <v>67</v>
      </c>
      <c r="G900" s="8">
        <v>54</v>
      </c>
      <c r="H900" s="8">
        <v>63</v>
      </c>
      <c r="I900">
        <f t="shared" si="42"/>
        <v>184</v>
      </c>
      <c r="J900">
        <f t="shared" si="43"/>
        <v>61.333333333333336</v>
      </c>
      <c r="K900" s="7" t="str">
        <f t="shared" si="44"/>
        <v>pass</v>
      </c>
    </row>
    <row r="901" spans="1:11" x14ac:dyDescent="0.25">
      <c r="A901" t="str">
        <f>PROPER(TRIM('raw data'!A901))</f>
        <v>Female</v>
      </c>
      <c r="B901" t="str">
        <f>PROPER(TRIM('raw data'!B901))</f>
        <v>Group D</v>
      </c>
      <c r="C901" s="7" t="str">
        <f>PROPER(TRIM('raw data'!C901))</f>
        <v>Some High School</v>
      </c>
      <c r="D901" s="7" t="str">
        <f>PROPER(TRIM('raw data'!D901))</f>
        <v>Standard</v>
      </c>
      <c r="E901" s="7" t="str">
        <f>PROPER(TRIM('raw data'!E901))</f>
        <v>Completed</v>
      </c>
      <c r="F901" s="8">
        <v>65</v>
      </c>
      <c r="G901" s="8">
        <v>78</v>
      </c>
      <c r="H901" s="8">
        <v>82</v>
      </c>
      <c r="I901">
        <f t="shared" si="42"/>
        <v>225</v>
      </c>
      <c r="J901">
        <f t="shared" si="43"/>
        <v>75</v>
      </c>
      <c r="K901" s="7" t="str">
        <f t="shared" si="44"/>
        <v>pass</v>
      </c>
    </row>
    <row r="902" spans="1:11" x14ac:dyDescent="0.25">
      <c r="A902" t="str">
        <f>PROPER(TRIM('raw data'!A902))</f>
        <v>Male</v>
      </c>
      <c r="B902" t="str">
        <f>PROPER(TRIM('raw data'!B902))</f>
        <v>Group D</v>
      </c>
      <c r="C902" s="7" t="str">
        <f>PROPER(TRIM('raw data'!C902))</f>
        <v>Master'S Degree</v>
      </c>
      <c r="D902" s="7" t="str">
        <f>PROPER(TRIM('raw data'!D902))</f>
        <v>Standard</v>
      </c>
      <c r="E902" s="7" t="str">
        <f>PROPER(TRIM('raw data'!E902))</f>
        <v>None</v>
      </c>
      <c r="F902" s="8">
        <v>85</v>
      </c>
      <c r="G902" s="8">
        <v>84</v>
      </c>
      <c r="H902" s="8">
        <v>89</v>
      </c>
      <c r="I902">
        <f t="shared" si="42"/>
        <v>258</v>
      </c>
      <c r="J902">
        <f t="shared" si="43"/>
        <v>86</v>
      </c>
      <c r="K902" s="7" t="str">
        <f t="shared" si="44"/>
        <v>pass</v>
      </c>
    </row>
    <row r="903" spans="1:11" x14ac:dyDescent="0.25">
      <c r="A903" t="str">
        <f>PROPER(TRIM('raw data'!A903))</f>
        <v>Female</v>
      </c>
      <c r="B903" t="str">
        <f>PROPER(TRIM('raw data'!B903))</f>
        <v>Group C</v>
      </c>
      <c r="C903" s="7" t="str">
        <f>PROPER(TRIM('raw data'!C903))</f>
        <v>Master'S Degree</v>
      </c>
      <c r="D903" s="7" t="str">
        <f>PROPER(TRIM('raw data'!D903))</f>
        <v>Standard</v>
      </c>
      <c r="E903" s="7" t="str">
        <f>PROPER(TRIM('raw data'!E903))</f>
        <v>None</v>
      </c>
      <c r="F903" s="8">
        <v>73</v>
      </c>
      <c r="G903" s="8">
        <v>78</v>
      </c>
      <c r="H903" s="8">
        <v>74</v>
      </c>
      <c r="I903">
        <f t="shared" si="42"/>
        <v>225</v>
      </c>
      <c r="J903">
        <f t="shared" si="43"/>
        <v>75</v>
      </c>
      <c r="K903" s="7" t="str">
        <f t="shared" si="44"/>
        <v>pass</v>
      </c>
    </row>
    <row r="904" spans="1:11" x14ac:dyDescent="0.25">
      <c r="A904" t="str">
        <f>PROPER(TRIM('raw data'!A904))</f>
        <v>Female</v>
      </c>
      <c r="B904" t="str">
        <f>PROPER(TRIM('raw data'!B904))</f>
        <v>Group A</v>
      </c>
      <c r="C904" s="7" t="str">
        <f>PROPER(TRIM('raw data'!C904))</f>
        <v>High School</v>
      </c>
      <c r="D904" s="7" t="str">
        <f>PROPER(TRIM('raw data'!D904))</f>
        <v>Free/Reduced</v>
      </c>
      <c r="E904" s="7" t="str">
        <f>PROPER(TRIM('raw data'!E904))</f>
        <v>Completed</v>
      </c>
      <c r="F904" s="8">
        <v>34</v>
      </c>
      <c r="G904" s="8">
        <v>48</v>
      </c>
      <c r="H904" s="8">
        <v>41</v>
      </c>
      <c r="I904">
        <f t="shared" si="42"/>
        <v>123</v>
      </c>
      <c r="J904">
        <f t="shared" si="43"/>
        <v>41</v>
      </c>
      <c r="K904" s="7" t="str">
        <f t="shared" si="44"/>
        <v>pass</v>
      </c>
    </row>
    <row r="905" spans="1:11" x14ac:dyDescent="0.25">
      <c r="A905" t="str">
        <f>PROPER(TRIM('raw data'!A905))</f>
        <v>Female</v>
      </c>
      <c r="B905" t="str">
        <f>PROPER(TRIM('raw data'!B905))</f>
        <v>Group D</v>
      </c>
      <c r="C905" s="7" t="str">
        <f>PROPER(TRIM('raw data'!C905))</f>
        <v>Bachelor'S Degree</v>
      </c>
      <c r="D905" s="7" t="str">
        <f>PROPER(TRIM('raw data'!D905))</f>
        <v>Free/Reduced</v>
      </c>
      <c r="E905" s="7" t="str">
        <f>PROPER(TRIM('raw data'!E905))</f>
        <v>Completed</v>
      </c>
      <c r="F905" s="8">
        <v>93</v>
      </c>
      <c r="G905" s="8">
        <v>100</v>
      </c>
      <c r="H905" s="8">
        <v>100</v>
      </c>
      <c r="I905">
        <f t="shared" si="42"/>
        <v>293</v>
      </c>
      <c r="J905">
        <f t="shared" si="43"/>
        <v>97.666666666666671</v>
      </c>
      <c r="K905" s="7" t="str">
        <f t="shared" si="44"/>
        <v>pass</v>
      </c>
    </row>
    <row r="906" spans="1:11" x14ac:dyDescent="0.25">
      <c r="A906" t="str">
        <f>PROPER(TRIM('raw data'!A906))</f>
        <v>Female</v>
      </c>
      <c r="B906" t="str">
        <f>PROPER(TRIM('raw data'!B906))</f>
        <v>Group D</v>
      </c>
      <c r="C906" s="7" t="str">
        <f>PROPER(TRIM('raw data'!C906))</f>
        <v>Some High School</v>
      </c>
      <c r="D906" s="7" t="str">
        <f>PROPER(TRIM('raw data'!D906))</f>
        <v>Free/Reduced</v>
      </c>
      <c r="E906" s="7" t="str">
        <f>PROPER(TRIM('raw data'!E906))</f>
        <v>None</v>
      </c>
      <c r="F906" s="8">
        <v>67</v>
      </c>
      <c r="G906" s="8">
        <v>84</v>
      </c>
      <c r="H906" s="8">
        <v>84</v>
      </c>
      <c r="I906">
        <f t="shared" si="42"/>
        <v>235</v>
      </c>
      <c r="J906">
        <f t="shared" si="43"/>
        <v>78.333333333333329</v>
      </c>
      <c r="K906" s="7" t="str">
        <f t="shared" si="44"/>
        <v>pass</v>
      </c>
    </row>
    <row r="907" spans="1:11" x14ac:dyDescent="0.25">
      <c r="A907" t="str">
        <f>PROPER(TRIM('raw data'!A907))</f>
        <v>Male</v>
      </c>
      <c r="B907" t="str">
        <f>PROPER(TRIM('raw data'!B907))</f>
        <v>Group D</v>
      </c>
      <c r="C907" s="7" t="str">
        <f>PROPER(TRIM('raw data'!C907))</f>
        <v>Some College</v>
      </c>
      <c r="D907" s="7" t="str">
        <f>PROPER(TRIM('raw data'!D907))</f>
        <v>Standard</v>
      </c>
      <c r="E907" s="7" t="str">
        <f>PROPER(TRIM('raw data'!E907))</f>
        <v>None</v>
      </c>
      <c r="F907" s="8">
        <v>88</v>
      </c>
      <c r="G907" s="8">
        <v>77</v>
      </c>
      <c r="H907" s="8">
        <v>77</v>
      </c>
      <c r="I907">
        <f t="shared" si="42"/>
        <v>242</v>
      </c>
      <c r="J907">
        <f t="shared" si="43"/>
        <v>80.666666666666671</v>
      </c>
      <c r="K907" s="7" t="str">
        <f t="shared" si="44"/>
        <v>pass</v>
      </c>
    </row>
    <row r="908" spans="1:11" x14ac:dyDescent="0.25">
      <c r="A908" t="str">
        <f>PROPER(TRIM('raw data'!A908))</f>
        <v>Male</v>
      </c>
      <c r="B908" t="str">
        <f>PROPER(TRIM('raw data'!B908))</f>
        <v>Group B</v>
      </c>
      <c r="C908" s="7" t="str">
        <f>PROPER(TRIM('raw data'!C908))</f>
        <v>High School</v>
      </c>
      <c r="D908" s="7" t="str">
        <f>PROPER(TRIM('raw data'!D908))</f>
        <v>Standard</v>
      </c>
      <c r="E908" s="7" t="str">
        <f>PROPER(TRIM('raw data'!E908))</f>
        <v>None</v>
      </c>
      <c r="F908" s="8">
        <v>57</v>
      </c>
      <c r="G908" s="8">
        <v>48</v>
      </c>
      <c r="H908" s="8">
        <v>51</v>
      </c>
      <c r="I908">
        <f t="shared" si="42"/>
        <v>156</v>
      </c>
      <c r="J908">
        <f t="shared" si="43"/>
        <v>52</v>
      </c>
      <c r="K908" s="7" t="str">
        <f t="shared" si="44"/>
        <v>pass</v>
      </c>
    </row>
    <row r="909" spans="1:11" x14ac:dyDescent="0.25">
      <c r="A909" t="str">
        <f>PROPER(TRIM('raw data'!A909))</f>
        <v>Female</v>
      </c>
      <c r="B909" t="str">
        <f>PROPER(TRIM('raw data'!B909))</f>
        <v>Group D</v>
      </c>
      <c r="C909" s="7" t="str">
        <f>PROPER(TRIM('raw data'!C909))</f>
        <v>Some College</v>
      </c>
      <c r="D909" s="7" t="str">
        <f>PROPER(TRIM('raw data'!D909))</f>
        <v>Standard</v>
      </c>
      <c r="E909" s="7" t="str">
        <f>PROPER(TRIM('raw data'!E909))</f>
        <v>Completed</v>
      </c>
      <c r="F909" s="8">
        <v>79</v>
      </c>
      <c r="G909" s="8">
        <v>84</v>
      </c>
      <c r="H909" s="8">
        <v>91</v>
      </c>
      <c r="I909">
        <f t="shared" si="42"/>
        <v>254</v>
      </c>
      <c r="J909">
        <f t="shared" si="43"/>
        <v>84.666666666666671</v>
      </c>
      <c r="K909" s="7" t="str">
        <f t="shared" si="44"/>
        <v>pass</v>
      </c>
    </row>
    <row r="910" spans="1:11" x14ac:dyDescent="0.25">
      <c r="A910" t="str">
        <f>PROPER(TRIM('raw data'!A910))</f>
        <v>Female</v>
      </c>
      <c r="B910" t="str">
        <f>PROPER(TRIM('raw data'!B910))</f>
        <v>Group C</v>
      </c>
      <c r="C910" s="7" t="str">
        <f>PROPER(TRIM('raw data'!C910))</f>
        <v>Bachelor'S Degree</v>
      </c>
      <c r="D910" s="7" t="str">
        <f>PROPER(TRIM('raw data'!D910))</f>
        <v>Free/Reduced</v>
      </c>
      <c r="E910" s="7" t="str">
        <f>PROPER(TRIM('raw data'!E910))</f>
        <v>None</v>
      </c>
      <c r="F910" s="8">
        <v>67</v>
      </c>
      <c r="G910" s="8">
        <v>75</v>
      </c>
      <c r="H910" s="8">
        <v>72</v>
      </c>
      <c r="I910">
        <f t="shared" si="42"/>
        <v>214</v>
      </c>
      <c r="J910">
        <f t="shared" si="43"/>
        <v>71.333333333333329</v>
      </c>
      <c r="K910" s="7" t="str">
        <f t="shared" si="44"/>
        <v>pass</v>
      </c>
    </row>
    <row r="911" spans="1:11" x14ac:dyDescent="0.25">
      <c r="A911" t="str">
        <f>PROPER(TRIM('raw data'!A911))</f>
        <v>Male</v>
      </c>
      <c r="B911" t="str">
        <f>PROPER(TRIM('raw data'!B911))</f>
        <v>Group E</v>
      </c>
      <c r="C911" s="7" t="str">
        <f>PROPER(TRIM('raw data'!C911))</f>
        <v>Bachelor'S Degree</v>
      </c>
      <c r="D911" s="7" t="str">
        <f>PROPER(TRIM('raw data'!D911))</f>
        <v>Standard</v>
      </c>
      <c r="E911" s="7" t="str">
        <f>PROPER(TRIM('raw data'!E911))</f>
        <v>Completed</v>
      </c>
      <c r="F911" s="8">
        <v>70</v>
      </c>
      <c r="G911" s="8">
        <v>64</v>
      </c>
      <c r="H911" s="8">
        <v>70</v>
      </c>
      <c r="I911">
        <f t="shared" si="42"/>
        <v>204</v>
      </c>
      <c r="J911">
        <f t="shared" si="43"/>
        <v>68</v>
      </c>
      <c r="K911" s="7" t="str">
        <f t="shared" si="44"/>
        <v>pass</v>
      </c>
    </row>
    <row r="912" spans="1:11" x14ac:dyDescent="0.25">
      <c r="A912" t="str">
        <f>PROPER(TRIM('raw data'!A912))</f>
        <v>Male</v>
      </c>
      <c r="B912" t="str">
        <f>PROPER(TRIM('raw data'!B912))</f>
        <v>Group D</v>
      </c>
      <c r="C912" s="7" t="str">
        <f>PROPER(TRIM('raw data'!C912))</f>
        <v>Bachelor'S Degree</v>
      </c>
      <c r="D912" s="7" t="str">
        <f>PROPER(TRIM('raw data'!D912))</f>
        <v>Free/Reduced</v>
      </c>
      <c r="E912" s="7" t="str">
        <f>PROPER(TRIM('raw data'!E912))</f>
        <v>None</v>
      </c>
      <c r="F912" s="8">
        <v>50</v>
      </c>
      <c r="G912" s="8">
        <v>42</v>
      </c>
      <c r="H912" s="8">
        <v>48</v>
      </c>
      <c r="I912">
        <f t="shared" si="42"/>
        <v>140</v>
      </c>
      <c r="J912">
        <f t="shared" si="43"/>
        <v>46.666666666666664</v>
      </c>
      <c r="K912" s="7" t="str">
        <f t="shared" si="44"/>
        <v>pass</v>
      </c>
    </row>
    <row r="913" spans="1:11" x14ac:dyDescent="0.25">
      <c r="A913" t="str">
        <f>PROPER(TRIM('raw data'!A913))</f>
        <v>Female</v>
      </c>
      <c r="B913" t="str">
        <f>PROPER(TRIM('raw data'!B913))</f>
        <v>Group A</v>
      </c>
      <c r="C913" s="7" t="str">
        <f>PROPER(TRIM('raw data'!C913))</f>
        <v>Some College</v>
      </c>
      <c r="D913" s="7" t="str">
        <f>PROPER(TRIM('raw data'!D913))</f>
        <v>Standard</v>
      </c>
      <c r="E913" s="7" t="str">
        <f>PROPER(TRIM('raw data'!E913))</f>
        <v>None</v>
      </c>
      <c r="F913" s="8">
        <v>69</v>
      </c>
      <c r="G913" s="8">
        <v>84</v>
      </c>
      <c r="H913" s="8">
        <v>82</v>
      </c>
      <c r="I913">
        <f t="shared" si="42"/>
        <v>235</v>
      </c>
      <c r="J913">
        <f t="shared" si="43"/>
        <v>78.333333333333329</v>
      </c>
      <c r="K913" s="7" t="str">
        <f t="shared" si="44"/>
        <v>pass</v>
      </c>
    </row>
    <row r="914" spans="1:11" x14ac:dyDescent="0.25">
      <c r="A914" t="str">
        <f>PROPER(TRIM('raw data'!A914))</f>
        <v>Female</v>
      </c>
      <c r="B914" t="str">
        <f>PROPER(TRIM('raw data'!B914))</f>
        <v>Group C</v>
      </c>
      <c r="C914" s="7" t="str">
        <f>PROPER(TRIM('raw data'!C914))</f>
        <v>Bachelor'S Degree</v>
      </c>
      <c r="D914" s="7" t="str">
        <f>PROPER(TRIM('raw data'!D914))</f>
        <v>Standard</v>
      </c>
      <c r="E914" s="7" t="str">
        <f>PROPER(TRIM('raw data'!E914))</f>
        <v>Completed</v>
      </c>
      <c r="F914" s="8">
        <v>52</v>
      </c>
      <c r="G914" s="8">
        <v>61</v>
      </c>
      <c r="H914" s="8">
        <v>66</v>
      </c>
      <c r="I914">
        <f t="shared" si="42"/>
        <v>179</v>
      </c>
      <c r="J914">
        <f t="shared" si="43"/>
        <v>59.666666666666664</v>
      </c>
      <c r="K914" s="7" t="str">
        <f t="shared" si="44"/>
        <v>pass</v>
      </c>
    </row>
    <row r="915" spans="1:11" x14ac:dyDescent="0.25">
      <c r="A915" t="str">
        <f>PROPER(TRIM('raw data'!A915))</f>
        <v>Female</v>
      </c>
      <c r="B915" t="str">
        <f>PROPER(TRIM('raw data'!B915))</f>
        <v>Group C</v>
      </c>
      <c r="C915" s="7" t="str">
        <f>PROPER(TRIM('raw data'!C915))</f>
        <v>Bachelor'S Degree</v>
      </c>
      <c r="D915" s="7" t="str">
        <f>PROPER(TRIM('raw data'!D915))</f>
        <v>Free/Reduced</v>
      </c>
      <c r="E915" s="7" t="str">
        <f>PROPER(TRIM('raw data'!E915))</f>
        <v>Completed</v>
      </c>
      <c r="F915" s="8">
        <v>47</v>
      </c>
      <c r="G915" s="8">
        <v>62</v>
      </c>
      <c r="H915" s="8">
        <v>66</v>
      </c>
      <c r="I915">
        <f t="shared" si="42"/>
        <v>175</v>
      </c>
      <c r="J915">
        <f t="shared" si="43"/>
        <v>58.333333333333336</v>
      </c>
      <c r="K915" s="7" t="str">
        <f t="shared" si="44"/>
        <v>pass</v>
      </c>
    </row>
    <row r="916" spans="1:11" x14ac:dyDescent="0.25">
      <c r="A916" t="str">
        <f>PROPER(TRIM('raw data'!A916))</f>
        <v>Female</v>
      </c>
      <c r="B916" t="str">
        <f>PROPER(TRIM('raw data'!B916))</f>
        <v>Group B</v>
      </c>
      <c r="C916" s="7" t="str">
        <f>PROPER(TRIM('raw data'!C916))</f>
        <v>Associate'S Degree</v>
      </c>
      <c r="D916" s="7" t="str">
        <f>PROPER(TRIM('raw data'!D916))</f>
        <v>Free/Reduced</v>
      </c>
      <c r="E916" s="7" t="str">
        <f>PROPER(TRIM('raw data'!E916))</f>
        <v>None</v>
      </c>
      <c r="F916" s="8">
        <v>46</v>
      </c>
      <c r="G916" s="8">
        <v>61</v>
      </c>
      <c r="H916" s="8">
        <v>55</v>
      </c>
      <c r="I916">
        <f t="shared" si="42"/>
        <v>162</v>
      </c>
      <c r="J916">
        <f t="shared" si="43"/>
        <v>54</v>
      </c>
      <c r="K916" s="7" t="str">
        <f t="shared" si="44"/>
        <v>pass</v>
      </c>
    </row>
    <row r="917" spans="1:11" x14ac:dyDescent="0.25">
      <c r="A917" t="str">
        <f>PROPER(TRIM('raw data'!A917))</f>
        <v>Female</v>
      </c>
      <c r="B917" t="str">
        <f>PROPER(TRIM('raw data'!B917))</f>
        <v>Group E</v>
      </c>
      <c r="C917" s="7" t="str">
        <f>PROPER(TRIM('raw data'!C917))</f>
        <v>Some College</v>
      </c>
      <c r="D917" s="7" t="str">
        <f>PROPER(TRIM('raw data'!D917))</f>
        <v>Standard</v>
      </c>
      <c r="E917" s="7" t="str">
        <f>PROPER(TRIM('raw data'!E917))</f>
        <v>None</v>
      </c>
      <c r="F917" s="8">
        <v>68</v>
      </c>
      <c r="G917" s="8">
        <v>70</v>
      </c>
      <c r="H917" s="8">
        <v>66</v>
      </c>
      <c r="I917">
        <f t="shared" si="42"/>
        <v>204</v>
      </c>
      <c r="J917">
        <f t="shared" si="43"/>
        <v>68</v>
      </c>
      <c r="K917" s="7" t="str">
        <f t="shared" si="44"/>
        <v>pass</v>
      </c>
    </row>
    <row r="918" spans="1:11" x14ac:dyDescent="0.25">
      <c r="A918" t="str">
        <f>PROPER(TRIM('raw data'!A918))</f>
        <v>Male</v>
      </c>
      <c r="B918" t="str">
        <f>PROPER(TRIM('raw data'!B918))</f>
        <v>Group E</v>
      </c>
      <c r="C918" s="7" t="str">
        <f>PROPER(TRIM('raw data'!C918))</f>
        <v>Bachelor'S Degree</v>
      </c>
      <c r="D918" s="7" t="str">
        <f>PROPER(TRIM('raw data'!D918))</f>
        <v>Standard</v>
      </c>
      <c r="E918" s="7" t="str">
        <f>PROPER(TRIM('raw data'!E918))</f>
        <v>Completed</v>
      </c>
      <c r="F918" s="8">
        <v>100</v>
      </c>
      <c r="G918" s="8">
        <v>100</v>
      </c>
      <c r="H918" s="8">
        <v>100</v>
      </c>
      <c r="I918">
        <f t="shared" si="42"/>
        <v>300</v>
      </c>
      <c r="J918">
        <f t="shared" si="43"/>
        <v>100</v>
      </c>
      <c r="K918" s="7" t="str">
        <f t="shared" si="44"/>
        <v>pass</v>
      </c>
    </row>
    <row r="919" spans="1:11" x14ac:dyDescent="0.25">
      <c r="A919" t="str">
        <f>PROPER(TRIM('raw data'!A919))</f>
        <v>Female</v>
      </c>
      <c r="B919" t="str">
        <f>PROPER(TRIM('raw data'!B919))</f>
        <v>Group C</v>
      </c>
      <c r="C919" s="7" t="str">
        <f>PROPER(TRIM('raw data'!C919))</f>
        <v>High School</v>
      </c>
      <c r="D919" s="7" t="str">
        <f>PROPER(TRIM('raw data'!D919))</f>
        <v>Standard</v>
      </c>
      <c r="E919" s="7" t="str">
        <f>PROPER(TRIM('raw data'!E919))</f>
        <v>None</v>
      </c>
      <c r="F919" s="8">
        <v>44</v>
      </c>
      <c r="G919" s="8">
        <v>61</v>
      </c>
      <c r="H919" s="8">
        <v>52</v>
      </c>
      <c r="I919">
        <f t="shared" si="42"/>
        <v>157</v>
      </c>
      <c r="J919">
        <f t="shared" si="43"/>
        <v>52.333333333333336</v>
      </c>
      <c r="K919" s="7" t="str">
        <f t="shared" si="44"/>
        <v>pass</v>
      </c>
    </row>
    <row r="920" spans="1:11" x14ac:dyDescent="0.25">
      <c r="A920" t="str">
        <f>PROPER(TRIM('raw data'!A920))</f>
        <v>Female</v>
      </c>
      <c r="B920" t="str">
        <f>PROPER(TRIM('raw data'!B920))</f>
        <v>Group C</v>
      </c>
      <c r="C920" s="7" t="str">
        <f>PROPER(TRIM('raw data'!C920))</f>
        <v>Associate'S Degree</v>
      </c>
      <c r="D920" s="7" t="str">
        <f>PROPER(TRIM('raw data'!D920))</f>
        <v>Standard</v>
      </c>
      <c r="E920" s="7" t="str">
        <f>PROPER(TRIM('raw data'!E920))</f>
        <v>Completed</v>
      </c>
      <c r="F920" s="8">
        <v>57</v>
      </c>
      <c r="G920" s="8">
        <v>77</v>
      </c>
      <c r="H920" s="8">
        <v>80</v>
      </c>
      <c r="I920">
        <f t="shared" si="42"/>
        <v>214</v>
      </c>
      <c r="J920">
        <f t="shared" si="43"/>
        <v>71.333333333333329</v>
      </c>
      <c r="K920" s="7" t="str">
        <f t="shared" si="44"/>
        <v>pass</v>
      </c>
    </row>
    <row r="921" spans="1:11" x14ac:dyDescent="0.25">
      <c r="A921" t="str">
        <f>PROPER(TRIM('raw data'!A921))</f>
        <v>Male</v>
      </c>
      <c r="B921" t="str">
        <f>PROPER(TRIM('raw data'!B921))</f>
        <v>Group B</v>
      </c>
      <c r="C921" s="7" t="str">
        <f>PROPER(TRIM('raw data'!C921))</f>
        <v>Some College</v>
      </c>
      <c r="D921" s="7" t="str">
        <f>PROPER(TRIM('raw data'!D921))</f>
        <v>Standard</v>
      </c>
      <c r="E921" s="7" t="str">
        <f>PROPER(TRIM('raw data'!E921))</f>
        <v>Completed</v>
      </c>
      <c r="F921" s="8">
        <v>91</v>
      </c>
      <c r="G921" s="8">
        <v>96</v>
      </c>
      <c r="H921" s="8">
        <v>91</v>
      </c>
      <c r="I921">
        <f t="shared" si="42"/>
        <v>278</v>
      </c>
      <c r="J921">
        <f t="shared" si="43"/>
        <v>92.666666666666671</v>
      </c>
      <c r="K921" s="7" t="str">
        <f t="shared" si="44"/>
        <v>pass</v>
      </c>
    </row>
    <row r="922" spans="1:11" x14ac:dyDescent="0.25">
      <c r="A922" t="str">
        <f>PROPER(TRIM('raw data'!A922))</f>
        <v>Male</v>
      </c>
      <c r="B922" t="str">
        <f>PROPER(TRIM('raw data'!B922))</f>
        <v>Group D</v>
      </c>
      <c r="C922" s="7" t="str">
        <f>PROPER(TRIM('raw data'!C922))</f>
        <v>High School</v>
      </c>
      <c r="D922" s="7" t="str">
        <f>PROPER(TRIM('raw data'!D922))</f>
        <v>Free/Reduced</v>
      </c>
      <c r="E922" s="7" t="str">
        <f>PROPER(TRIM('raw data'!E922))</f>
        <v>None</v>
      </c>
      <c r="F922" s="8">
        <v>69</v>
      </c>
      <c r="G922" s="8">
        <v>70</v>
      </c>
      <c r="H922" s="8">
        <v>67</v>
      </c>
      <c r="I922">
        <f t="shared" si="42"/>
        <v>206</v>
      </c>
      <c r="J922">
        <f t="shared" si="43"/>
        <v>68.666666666666671</v>
      </c>
      <c r="K922" s="7" t="str">
        <f t="shared" si="44"/>
        <v>pass</v>
      </c>
    </row>
    <row r="923" spans="1:11" x14ac:dyDescent="0.25">
      <c r="A923" t="str">
        <f>PROPER(TRIM('raw data'!A923))</f>
        <v>Female</v>
      </c>
      <c r="B923" t="str">
        <f>PROPER(TRIM('raw data'!B923))</f>
        <v>Group C</v>
      </c>
      <c r="C923" s="7" t="str">
        <f>PROPER(TRIM('raw data'!C923))</f>
        <v>High School</v>
      </c>
      <c r="D923" s="7" t="str">
        <f>PROPER(TRIM('raw data'!D923))</f>
        <v>Free/Reduced</v>
      </c>
      <c r="E923" s="7" t="str">
        <f>PROPER(TRIM('raw data'!E923))</f>
        <v>None</v>
      </c>
      <c r="F923" s="8">
        <v>35</v>
      </c>
      <c r="G923" s="8">
        <v>53</v>
      </c>
      <c r="H923" s="8">
        <v>46</v>
      </c>
      <c r="I923">
        <f t="shared" si="42"/>
        <v>134</v>
      </c>
      <c r="J923">
        <f t="shared" si="43"/>
        <v>44.666666666666664</v>
      </c>
      <c r="K923" s="7" t="str">
        <f t="shared" si="44"/>
        <v>pass</v>
      </c>
    </row>
    <row r="924" spans="1:11" x14ac:dyDescent="0.25">
      <c r="A924" t="str">
        <f>PROPER(TRIM('raw data'!A924))</f>
        <v>Male</v>
      </c>
      <c r="B924" t="str">
        <f>PROPER(TRIM('raw data'!B924))</f>
        <v>Group D</v>
      </c>
      <c r="C924" s="7" t="str">
        <f>PROPER(TRIM('raw data'!C924))</f>
        <v>High School</v>
      </c>
      <c r="D924" s="7" t="str">
        <f>PROPER(TRIM('raw data'!D924))</f>
        <v>Standard</v>
      </c>
      <c r="E924" s="7" t="str">
        <f>PROPER(TRIM('raw data'!E924))</f>
        <v>None</v>
      </c>
      <c r="F924" s="8">
        <v>72</v>
      </c>
      <c r="G924" s="8">
        <v>66</v>
      </c>
      <c r="H924" s="8">
        <v>66</v>
      </c>
      <c r="I924">
        <f t="shared" si="42"/>
        <v>204</v>
      </c>
      <c r="J924">
        <f t="shared" si="43"/>
        <v>68</v>
      </c>
      <c r="K924" s="7" t="str">
        <f t="shared" si="44"/>
        <v>pass</v>
      </c>
    </row>
    <row r="925" spans="1:11" x14ac:dyDescent="0.25">
      <c r="A925" t="str">
        <f>PROPER(TRIM('raw data'!A925))</f>
        <v>Female</v>
      </c>
      <c r="B925" t="str">
        <f>PROPER(TRIM('raw data'!B925))</f>
        <v>Group B</v>
      </c>
      <c r="C925" s="7" t="str">
        <f>PROPER(TRIM('raw data'!C925))</f>
        <v>Associate'S Degree</v>
      </c>
      <c r="D925" s="7" t="str">
        <f>PROPER(TRIM('raw data'!D925))</f>
        <v>Free/Reduced</v>
      </c>
      <c r="E925" s="7" t="str">
        <f>PROPER(TRIM('raw data'!E925))</f>
        <v>None</v>
      </c>
      <c r="F925" s="8">
        <v>54</v>
      </c>
      <c r="G925" s="8">
        <v>65</v>
      </c>
      <c r="H925" s="8">
        <v>65</v>
      </c>
      <c r="I925">
        <f t="shared" si="42"/>
        <v>184</v>
      </c>
      <c r="J925">
        <f t="shared" si="43"/>
        <v>61.333333333333336</v>
      </c>
      <c r="K925" s="7" t="str">
        <f t="shared" si="44"/>
        <v>pass</v>
      </c>
    </row>
    <row r="926" spans="1:11" x14ac:dyDescent="0.25">
      <c r="A926" t="str">
        <f>PROPER(TRIM('raw data'!A926))</f>
        <v>Male</v>
      </c>
      <c r="B926" t="str">
        <f>PROPER(TRIM('raw data'!B926))</f>
        <v>Group D</v>
      </c>
      <c r="C926" s="7" t="str">
        <f>PROPER(TRIM('raw data'!C926))</f>
        <v>High School</v>
      </c>
      <c r="D926" s="7" t="str">
        <f>PROPER(TRIM('raw data'!D926))</f>
        <v>Free/Reduced</v>
      </c>
      <c r="E926" s="7" t="str">
        <f>PROPER(TRIM('raw data'!E926))</f>
        <v>None</v>
      </c>
      <c r="F926" s="8">
        <v>74</v>
      </c>
      <c r="G926" s="8">
        <v>70</v>
      </c>
      <c r="H926" s="8">
        <v>69</v>
      </c>
      <c r="I926">
        <f t="shared" si="42"/>
        <v>213</v>
      </c>
      <c r="J926">
        <f t="shared" si="43"/>
        <v>71</v>
      </c>
      <c r="K926" s="7" t="str">
        <f t="shared" si="44"/>
        <v>pass</v>
      </c>
    </row>
    <row r="927" spans="1:11" x14ac:dyDescent="0.25">
      <c r="A927" t="str">
        <f>PROPER(TRIM('raw data'!A927))</f>
        <v>Male</v>
      </c>
      <c r="B927" t="str">
        <f>PROPER(TRIM('raw data'!B927))</f>
        <v>Group E</v>
      </c>
      <c r="C927" s="7" t="str">
        <f>PROPER(TRIM('raw data'!C927))</f>
        <v>Some High School</v>
      </c>
      <c r="D927" s="7" t="str">
        <f>PROPER(TRIM('raw data'!D927))</f>
        <v>Standard</v>
      </c>
      <c r="E927" s="7" t="str">
        <f>PROPER(TRIM('raw data'!E927))</f>
        <v>Completed</v>
      </c>
      <c r="F927" s="8">
        <v>74</v>
      </c>
      <c r="G927" s="8">
        <v>64</v>
      </c>
      <c r="H927" s="8">
        <v>60</v>
      </c>
      <c r="I927">
        <f t="shared" si="42"/>
        <v>198</v>
      </c>
      <c r="J927">
        <f t="shared" si="43"/>
        <v>66</v>
      </c>
      <c r="K927" s="7" t="str">
        <f t="shared" si="44"/>
        <v>pass</v>
      </c>
    </row>
    <row r="928" spans="1:11" x14ac:dyDescent="0.25">
      <c r="A928" t="str">
        <f>PROPER(TRIM('raw data'!A928))</f>
        <v>Male</v>
      </c>
      <c r="B928" t="str">
        <f>PROPER(TRIM('raw data'!B928))</f>
        <v>Group E</v>
      </c>
      <c r="C928" s="7" t="str">
        <f>PROPER(TRIM('raw data'!C928))</f>
        <v>Associate'S Degree</v>
      </c>
      <c r="D928" s="7" t="str">
        <f>PROPER(TRIM('raw data'!D928))</f>
        <v>Free/Reduced</v>
      </c>
      <c r="E928" s="7" t="str">
        <f>PROPER(TRIM('raw data'!E928))</f>
        <v>None</v>
      </c>
      <c r="F928" s="8">
        <v>64</v>
      </c>
      <c r="G928" s="8">
        <v>56</v>
      </c>
      <c r="H928" s="8">
        <v>52</v>
      </c>
      <c r="I928">
        <f t="shared" si="42"/>
        <v>172</v>
      </c>
      <c r="J928">
        <f t="shared" si="43"/>
        <v>57.333333333333336</v>
      </c>
      <c r="K928" s="7" t="str">
        <f t="shared" si="44"/>
        <v>pass</v>
      </c>
    </row>
    <row r="929" spans="1:11" x14ac:dyDescent="0.25">
      <c r="A929" t="str">
        <f>PROPER(TRIM('raw data'!A929))</f>
        <v>Female</v>
      </c>
      <c r="B929" t="str">
        <f>PROPER(TRIM('raw data'!B929))</f>
        <v>Group D</v>
      </c>
      <c r="C929" s="7" t="str">
        <f>PROPER(TRIM('raw data'!C929))</f>
        <v>High School</v>
      </c>
      <c r="D929" s="7" t="str">
        <f>PROPER(TRIM('raw data'!D929))</f>
        <v>Free/Reduced</v>
      </c>
      <c r="E929" s="7" t="str">
        <f>PROPER(TRIM('raw data'!E929))</f>
        <v>Completed</v>
      </c>
      <c r="F929" s="8">
        <v>65</v>
      </c>
      <c r="G929" s="8">
        <v>61</v>
      </c>
      <c r="H929" s="8">
        <v>71</v>
      </c>
      <c r="I929">
        <f t="shared" si="42"/>
        <v>197</v>
      </c>
      <c r="J929">
        <f t="shared" si="43"/>
        <v>65.666666666666671</v>
      </c>
      <c r="K929" s="7" t="str">
        <f t="shared" si="44"/>
        <v>pass</v>
      </c>
    </row>
    <row r="930" spans="1:11" x14ac:dyDescent="0.25">
      <c r="A930" t="str">
        <f>PROPER(TRIM('raw data'!A930))</f>
        <v>Male</v>
      </c>
      <c r="B930" t="str">
        <f>PROPER(TRIM('raw data'!B930))</f>
        <v>Group E</v>
      </c>
      <c r="C930" s="7" t="str">
        <f>PROPER(TRIM('raw data'!C930))</f>
        <v>Associate'S Degree</v>
      </c>
      <c r="D930" s="7" t="str">
        <f>PROPER(TRIM('raw data'!D930))</f>
        <v>Free/Reduced</v>
      </c>
      <c r="E930" s="7" t="str">
        <f>PROPER(TRIM('raw data'!E930))</f>
        <v>Completed</v>
      </c>
      <c r="F930" s="8">
        <v>46</v>
      </c>
      <c r="G930" s="8">
        <v>43</v>
      </c>
      <c r="H930" s="8">
        <v>44</v>
      </c>
      <c r="I930">
        <f t="shared" si="42"/>
        <v>133</v>
      </c>
      <c r="J930">
        <f t="shared" si="43"/>
        <v>44.333333333333336</v>
      </c>
      <c r="K930" s="7" t="str">
        <f t="shared" si="44"/>
        <v>pass</v>
      </c>
    </row>
    <row r="931" spans="1:11" x14ac:dyDescent="0.25">
      <c r="A931" t="str">
        <f>PROPER(TRIM('raw data'!A931))</f>
        <v>Female</v>
      </c>
      <c r="B931" t="str">
        <f>PROPER(TRIM('raw data'!B931))</f>
        <v>Group C</v>
      </c>
      <c r="C931" s="7" t="str">
        <f>PROPER(TRIM('raw data'!C931))</f>
        <v>Some High School</v>
      </c>
      <c r="D931" s="7" t="str">
        <f>PROPER(TRIM('raw data'!D931))</f>
        <v>Free/Reduced</v>
      </c>
      <c r="E931" s="7" t="str">
        <f>PROPER(TRIM('raw data'!E931))</f>
        <v>None</v>
      </c>
      <c r="F931" s="8">
        <v>48</v>
      </c>
      <c r="G931" s="8">
        <v>56</v>
      </c>
      <c r="H931" s="8">
        <v>51</v>
      </c>
      <c r="I931">
        <f t="shared" si="42"/>
        <v>155</v>
      </c>
      <c r="J931">
        <f t="shared" si="43"/>
        <v>51.666666666666664</v>
      </c>
      <c r="K931" s="7" t="str">
        <f t="shared" si="44"/>
        <v>pass</v>
      </c>
    </row>
    <row r="932" spans="1:11" x14ac:dyDescent="0.25">
      <c r="A932" t="str">
        <f>PROPER(TRIM('raw data'!A932))</f>
        <v>Male</v>
      </c>
      <c r="B932" t="str">
        <f>PROPER(TRIM('raw data'!B932))</f>
        <v>Group C</v>
      </c>
      <c r="C932" s="7" t="str">
        <f>PROPER(TRIM('raw data'!C932))</f>
        <v>Some College</v>
      </c>
      <c r="D932" s="7" t="str">
        <f>PROPER(TRIM('raw data'!D932))</f>
        <v>Free/Reduced</v>
      </c>
      <c r="E932" s="7" t="str">
        <f>PROPER(TRIM('raw data'!E932))</f>
        <v>Completed</v>
      </c>
      <c r="F932" s="8">
        <v>67</v>
      </c>
      <c r="G932" s="8">
        <v>74</v>
      </c>
      <c r="H932" s="8">
        <v>70</v>
      </c>
      <c r="I932">
        <f t="shared" si="42"/>
        <v>211</v>
      </c>
      <c r="J932">
        <f t="shared" si="43"/>
        <v>70.333333333333329</v>
      </c>
      <c r="K932" s="7" t="str">
        <f t="shared" si="44"/>
        <v>pass</v>
      </c>
    </row>
    <row r="933" spans="1:11" x14ac:dyDescent="0.25">
      <c r="A933" t="str">
        <f>PROPER(TRIM('raw data'!A933))</f>
        <v>Male</v>
      </c>
      <c r="B933" t="str">
        <f>PROPER(TRIM('raw data'!B933))</f>
        <v>Group D</v>
      </c>
      <c r="C933" s="7" t="str">
        <f>PROPER(TRIM('raw data'!C933))</f>
        <v>Some College</v>
      </c>
      <c r="D933" s="7" t="str">
        <f>PROPER(TRIM('raw data'!D933))</f>
        <v>Free/Reduced</v>
      </c>
      <c r="E933" s="7" t="str">
        <f>PROPER(TRIM('raw data'!E933))</f>
        <v>None</v>
      </c>
      <c r="F933" s="8">
        <v>62</v>
      </c>
      <c r="G933" s="8">
        <v>57</v>
      </c>
      <c r="H933" s="8">
        <v>62</v>
      </c>
      <c r="I933">
        <f t="shared" si="42"/>
        <v>181</v>
      </c>
      <c r="J933">
        <f t="shared" si="43"/>
        <v>60.333333333333336</v>
      </c>
      <c r="K933" s="7" t="str">
        <f t="shared" si="44"/>
        <v>pass</v>
      </c>
    </row>
    <row r="934" spans="1:11" x14ac:dyDescent="0.25">
      <c r="A934" t="str">
        <f>PROPER(TRIM('raw data'!A934))</f>
        <v>Male</v>
      </c>
      <c r="B934" t="str">
        <f>PROPER(TRIM('raw data'!B934))</f>
        <v>Group D</v>
      </c>
      <c r="C934" s="7" t="str">
        <f>PROPER(TRIM('raw data'!C934))</f>
        <v>Associate'S Degree</v>
      </c>
      <c r="D934" s="7" t="str">
        <f>PROPER(TRIM('raw data'!D934))</f>
        <v>Free/Reduced</v>
      </c>
      <c r="E934" s="7" t="str">
        <f>PROPER(TRIM('raw data'!E934))</f>
        <v>Completed</v>
      </c>
      <c r="F934" s="8">
        <v>61</v>
      </c>
      <c r="G934" s="8">
        <v>71</v>
      </c>
      <c r="H934" s="8">
        <v>73</v>
      </c>
      <c r="I934">
        <f t="shared" si="42"/>
        <v>205</v>
      </c>
      <c r="J934">
        <f t="shared" si="43"/>
        <v>68.333333333333329</v>
      </c>
      <c r="K934" s="7" t="str">
        <f t="shared" si="44"/>
        <v>pass</v>
      </c>
    </row>
    <row r="935" spans="1:11" x14ac:dyDescent="0.25">
      <c r="A935" t="str">
        <f>PROPER(TRIM('raw data'!A935))</f>
        <v>Male</v>
      </c>
      <c r="B935" t="str">
        <f>PROPER(TRIM('raw data'!B935))</f>
        <v>Group C</v>
      </c>
      <c r="C935" s="7" t="str">
        <f>PROPER(TRIM('raw data'!C935))</f>
        <v>Bachelor'S Degree</v>
      </c>
      <c r="D935" s="7" t="str">
        <f>PROPER(TRIM('raw data'!D935))</f>
        <v>Free/Reduced</v>
      </c>
      <c r="E935" s="7" t="str">
        <f>PROPER(TRIM('raw data'!E935))</f>
        <v>Completed</v>
      </c>
      <c r="F935" s="8">
        <v>70</v>
      </c>
      <c r="G935" s="8">
        <v>75</v>
      </c>
      <c r="H935" s="8">
        <v>74</v>
      </c>
      <c r="I935">
        <f t="shared" si="42"/>
        <v>219</v>
      </c>
      <c r="J935">
        <f t="shared" si="43"/>
        <v>73</v>
      </c>
      <c r="K935" s="7" t="str">
        <f t="shared" si="44"/>
        <v>pass</v>
      </c>
    </row>
    <row r="936" spans="1:11" x14ac:dyDescent="0.25">
      <c r="A936" t="str">
        <f>PROPER(TRIM('raw data'!A936))</f>
        <v>Male</v>
      </c>
      <c r="B936" t="str">
        <f>PROPER(TRIM('raw data'!B936))</f>
        <v>Group C</v>
      </c>
      <c r="C936" s="7" t="str">
        <f>PROPER(TRIM('raw data'!C936))</f>
        <v>Associate'S Degree</v>
      </c>
      <c r="D936" s="7" t="str">
        <f>PROPER(TRIM('raw data'!D936))</f>
        <v>Standard</v>
      </c>
      <c r="E936" s="7" t="str">
        <f>PROPER(TRIM('raw data'!E936))</f>
        <v>Completed</v>
      </c>
      <c r="F936" s="8">
        <v>98</v>
      </c>
      <c r="G936" s="8">
        <v>87</v>
      </c>
      <c r="H936" s="8">
        <v>90</v>
      </c>
      <c r="I936">
        <f t="shared" si="42"/>
        <v>275</v>
      </c>
      <c r="J936">
        <f t="shared" si="43"/>
        <v>91.666666666666671</v>
      </c>
      <c r="K936" s="7" t="str">
        <f t="shared" si="44"/>
        <v>pass</v>
      </c>
    </row>
    <row r="937" spans="1:11" x14ac:dyDescent="0.25">
      <c r="A937" t="str">
        <f>PROPER(TRIM('raw data'!A937))</f>
        <v>Male</v>
      </c>
      <c r="B937" t="str">
        <f>PROPER(TRIM('raw data'!B937))</f>
        <v>Group D</v>
      </c>
      <c r="C937" s="7" t="str">
        <f>PROPER(TRIM('raw data'!C937))</f>
        <v>Some College</v>
      </c>
      <c r="D937" s="7" t="str">
        <f>PROPER(TRIM('raw data'!D937))</f>
        <v>Free/Reduced</v>
      </c>
      <c r="E937" s="7" t="str">
        <f>PROPER(TRIM('raw data'!E937))</f>
        <v>None</v>
      </c>
      <c r="F937" s="8">
        <v>70</v>
      </c>
      <c r="G937" s="8">
        <v>63</v>
      </c>
      <c r="H937" s="8">
        <v>58</v>
      </c>
      <c r="I937">
        <f t="shared" si="42"/>
        <v>191</v>
      </c>
      <c r="J937">
        <f t="shared" si="43"/>
        <v>63.666666666666664</v>
      </c>
      <c r="K937" s="7" t="str">
        <f t="shared" si="44"/>
        <v>pass</v>
      </c>
    </row>
    <row r="938" spans="1:11" x14ac:dyDescent="0.25">
      <c r="A938" t="str">
        <f>PROPER(TRIM('raw data'!A938))</f>
        <v>Male</v>
      </c>
      <c r="B938" t="str">
        <f>PROPER(TRIM('raw data'!B938))</f>
        <v>Group A</v>
      </c>
      <c r="C938" s="7" t="str">
        <f>PROPER(TRIM('raw data'!C938))</f>
        <v>Associate'S Degree</v>
      </c>
      <c r="D938" s="7" t="str">
        <f>PROPER(TRIM('raw data'!D938))</f>
        <v>Standard</v>
      </c>
      <c r="E938" s="7" t="str">
        <f>PROPER(TRIM('raw data'!E938))</f>
        <v>None</v>
      </c>
      <c r="F938" s="8">
        <v>67</v>
      </c>
      <c r="G938" s="8">
        <v>57</v>
      </c>
      <c r="H938" s="8">
        <v>53</v>
      </c>
      <c r="I938">
        <f t="shared" si="42"/>
        <v>177</v>
      </c>
      <c r="J938">
        <f t="shared" si="43"/>
        <v>59</v>
      </c>
      <c r="K938" s="7" t="str">
        <f t="shared" si="44"/>
        <v>pass</v>
      </c>
    </row>
    <row r="939" spans="1:11" x14ac:dyDescent="0.25">
      <c r="A939" t="str">
        <f>PROPER(TRIM('raw data'!A939))</f>
        <v>Female</v>
      </c>
      <c r="B939" t="str">
        <f>PROPER(TRIM('raw data'!B939))</f>
        <v>Group E</v>
      </c>
      <c r="C939" s="7" t="str">
        <f>PROPER(TRIM('raw data'!C939))</f>
        <v>High School</v>
      </c>
      <c r="D939" s="7" t="str">
        <f>PROPER(TRIM('raw data'!D939))</f>
        <v>Free/Reduced</v>
      </c>
      <c r="E939" s="7" t="str">
        <f>PROPER(TRIM('raw data'!E939))</f>
        <v>None</v>
      </c>
      <c r="F939" s="8">
        <v>57</v>
      </c>
      <c r="G939" s="8">
        <v>58</v>
      </c>
      <c r="H939" s="8">
        <v>57</v>
      </c>
      <c r="I939">
        <f t="shared" si="42"/>
        <v>172</v>
      </c>
      <c r="J939">
        <f t="shared" si="43"/>
        <v>57.333333333333336</v>
      </c>
      <c r="K939" s="7" t="str">
        <f t="shared" si="44"/>
        <v>pass</v>
      </c>
    </row>
    <row r="940" spans="1:11" x14ac:dyDescent="0.25">
      <c r="A940" t="str">
        <f>PROPER(TRIM('raw data'!A940))</f>
        <v>Male</v>
      </c>
      <c r="B940" t="str">
        <f>PROPER(TRIM('raw data'!B940))</f>
        <v>Group D</v>
      </c>
      <c r="C940" s="7" t="str">
        <f>PROPER(TRIM('raw data'!C940))</f>
        <v>Some College</v>
      </c>
      <c r="D940" s="7" t="str">
        <f>PROPER(TRIM('raw data'!D940))</f>
        <v>Standard</v>
      </c>
      <c r="E940" s="7" t="str">
        <f>PROPER(TRIM('raw data'!E940))</f>
        <v>Completed</v>
      </c>
      <c r="F940" s="8">
        <v>85</v>
      </c>
      <c r="G940" s="8">
        <v>81</v>
      </c>
      <c r="H940" s="8">
        <v>85</v>
      </c>
      <c r="I940">
        <f t="shared" si="42"/>
        <v>251</v>
      </c>
      <c r="J940">
        <f t="shared" si="43"/>
        <v>83.666666666666671</v>
      </c>
      <c r="K940" s="7" t="str">
        <f t="shared" si="44"/>
        <v>pass</v>
      </c>
    </row>
    <row r="941" spans="1:11" x14ac:dyDescent="0.25">
      <c r="A941" t="str">
        <f>PROPER(TRIM('raw data'!A941))</f>
        <v>Male</v>
      </c>
      <c r="B941" t="str">
        <f>PROPER(TRIM('raw data'!B941))</f>
        <v>Group D</v>
      </c>
      <c r="C941" s="7" t="str">
        <f>PROPER(TRIM('raw data'!C941))</f>
        <v>Some High School</v>
      </c>
      <c r="D941" s="7" t="str">
        <f>PROPER(TRIM('raw data'!D941))</f>
        <v>Standard</v>
      </c>
      <c r="E941" s="7" t="str">
        <f>PROPER(TRIM('raw data'!E941))</f>
        <v>Completed</v>
      </c>
      <c r="F941" s="8">
        <v>77</v>
      </c>
      <c r="G941" s="8">
        <v>68</v>
      </c>
      <c r="H941" s="8">
        <v>69</v>
      </c>
      <c r="I941">
        <f t="shared" si="42"/>
        <v>214</v>
      </c>
      <c r="J941">
        <f t="shared" si="43"/>
        <v>71.333333333333329</v>
      </c>
      <c r="K941" s="7" t="str">
        <f t="shared" si="44"/>
        <v>pass</v>
      </c>
    </row>
    <row r="942" spans="1:11" x14ac:dyDescent="0.25">
      <c r="A942" t="str">
        <f>PROPER(TRIM('raw data'!A942))</f>
        <v>Male</v>
      </c>
      <c r="B942" t="str">
        <f>PROPER(TRIM('raw data'!B942))</f>
        <v>Group C</v>
      </c>
      <c r="C942" s="7" t="str">
        <f>PROPER(TRIM('raw data'!C942))</f>
        <v>Master'S Degree</v>
      </c>
      <c r="D942" s="7" t="str">
        <f>PROPER(TRIM('raw data'!D942))</f>
        <v>Free/Reduced</v>
      </c>
      <c r="E942" s="7" t="str">
        <f>PROPER(TRIM('raw data'!E942))</f>
        <v>Completed</v>
      </c>
      <c r="F942" s="8">
        <v>72</v>
      </c>
      <c r="G942" s="8">
        <v>66</v>
      </c>
      <c r="H942" s="8">
        <v>72</v>
      </c>
      <c r="I942">
        <f t="shared" si="42"/>
        <v>210</v>
      </c>
      <c r="J942">
        <f t="shared" si="43"/>
        <v>70</v>
      </c>
      <c r="K942" s="7" t="str">
        <f t="shared" si="44"/>
        <v>pass</v>
      </c>
    </row>
    <row r="943" spans="1:11" x14ac:dyDescent="0.25">
      <c r="A943" t="str">
        <f>PROPER(TRIM('raw data'!A943))</f>
        <v>Female</v>
      </c>
      <c r="B943" t="str">
        <f>PROPER(TRIM('raw data'!B943))</f>
        <v>Group D</v>
      </c>
      <c r="C943" s="7" t="str">
        <f>PROPER(TRIM('raw data'!C943))</f>
        <v>Master'S Degree</v>
      </c>
      <c r="D943" s="7" t="str">
        <f>PROPER(TRIM('raw data'!D943))</f>
        <v>Standard</v>
      </c>
      <c r="E943" s="7" t="str">
        <f>PROPER(TRIM('raw data'!E943))</f>
        <v>None</v>
      </c>
      <c r="F943" s="8">
        <v>78</v>
      </c>
      <c r="G943" s="8">
        <v>91</v>
      </c>
      <c r="H943" s="8">
        <v>96</v>
      </c>
      <c r="I943">
        <f t="shared" si="42"/>
        <v>265</v>
      </c>
      <c r="J943">
        <f t="shared" si="43"/>
        <v>88.333333333333329</v>
      </c>
      <c r="K943" s="7" t="str">
        <f t="shared" si="44"/>
        <v>pass</v>
      </c>
    </row>
    <row r="944" spans="1:11" x14ac:dyDescent="0.25">
      <c r="A944" t="str">
        <f>PROPER(TRIM('raw data'!A944))</f>
        <v>Male</v>
      </c>
      <c r="B944" t="str">
        <f>PROPER(TRIM('raw data'!B944))</f>
        <v>Group C</v>
      </c>
      <c r="C944" s="7" t="str">
        <f>PROPER(TRIM('raw data'!C944))</f>
        <v>High School</v>
      </c>
      <c r="D944" s="7" t="str">
        <f>PROPER(TRIM('raw data'!D944))</f>
        <v>Standard</v>
      </c>
      <c r="E944" s="7" t="str">
        <f>PROPER(TRIM('raw data'!E944))</f>
        <v>None</v>
      </c>
      <c r="F944" s="8">
        <v>81</v>
      </c>
      <c r="G944" s="8">
        <v>66</v>
      </c>
      <c r="H944" s="8">
        <v>64</v>
      </c>
      <c r="I944">
        <f t="shared" si="42"/>
        <v>211</v>
      </c>
      <c r="J944">
        <f t="shared" si="43"/>
        <v>70.333333333333329</v>
      </c>
      <c r="K944" s="7" t="str">
        <f t="shared" si="44"/>
        <v>pass</v>
      </c>
    </row>
    <row r="945" spans="1:11" x14ac:dyDescent="0.25">
      <c r="A945" t="str">
        <f>PROPER(TRIM('raw data'!A945))</f>
        <v>Male</v>
      </c>
      <c r="B945" t="str">
        <f>PROPER(TRIM('raw data'!B945))</f>
        <v>Group A</v>
      </c>
      <c r="C945" s="7" t="str">
        <f>PROPER(TRIM('raw data'!C945))</f>
        <v>Some High School</v>
      </c>
      <c r="D945" s="7" t="str">
        <f>PROPER(TRIM('raw data'!D945))</f>
        <v>Free/Reduced</v>
      </c>
      <c r="E945" s="7" t="str">
        <f>PROPER(TRIM('raw data'!E945))</f>
        <v>Completed</v>
      </c>
      <c r="F945" s="8">
        <v>61</v>
      </c>
      <c r="G945" s="8">
        <v>62</v>
      </c>
      <c r="H945" s="8">
        <v>61</v>
      </c>
      <c r="I945">
        <f t="shared" si="42"/>
        <v>184</v>
      </c>
      <c r="J945">
        <f t="shared" si="43"/>
        <v>61.333333333333336</v>
      </c>
      <c r="K945" s="7" t="str">
        <f t="shared" si="44"/>
        <v>pass</v>
      </c>
    </row>
    <row r="946" spans="1:11" x14ac:dyDescent="0.25">
      <c r="A946" t="str">
        <f>PROPER(TRIM('raw data'!A946))</f>
        <v>Female</v>
      </c>
      <c r="B946" t="str">
        <f>PROPER(TRIM('raw data'!B946))</f>
        <v>Group B</v>
      </c>
      <c r="C946" s="7" t="str">
        <f>PROPER(TRIM('raw data'!C946))</f>
        <v>High School</v>
      </c>
      <c r="D946" s="7" t="str">
        <f>PROPER(TRIM('raw data'!D946))</f>
        <v>Standard</v>
      </c>
      <c r="E946" s="7" t="str">
        <f>PROPER(TRIM('raw data'!E946))</f>
        <v>None</v>
      </c>
      <c r="F946" s="8">
        <v>58</v>
      </c>
      <c r="G946" s="8">
        <v>68</v>
      </c>
      <c r="H946" s="8">
        <v>61</v>
      </c>
      <c r="I946">
        <f t="shared" si="42"/>
        <v>187</v>
      </c>
      <c r="J946">
        <f t="shared" si="43"/>
        <v>62.333333333333336</v>
      </c>
      <c r="K946" s="7" t="str">
        <f t="shared" si="44"/>
        <v>pass</v>
      </c>
    </row>
    <row r="947" spans="1:11" x14ac:dyDescent="0.25">
      <c r="A947" t="str">
        <f>PROPER(TRIM('raw data'!A947))</f>
        <v>Female</v>
      </c>
      <c r="B947" t="str">
        <f>PROPER(TRIM('raw data'!B947))</f>
        <v>Group C</v>
      </c>
      <c r="C947" s="7" t="str">
        <f>PROPER(TRIM('raw data'!C947))</f>
        <v>Associate'S Degree</v>
      </c>
      <c r="D947" s="7" t="str">
        <f>PROPER(TRIM('raw data'!D947))</f>
        <v>Standard</v>
      </c>
      <c r="E947" s="7" t="str">
        <f>PROPER(TRIM('raw data'!E947))</f>
        <v>None</v>
      </c>
      <c r="F947" s="8">
        <v>54</v>
      </c>
      <c r="G947" s="8">
        <v>61</v>
      </c>
      <c r="H947" s="8">
        <v>58</v>
      </c>
      <c r="I947">
        <f t="shared" si="42"/>
        <v>173</v>
      </c>
      <c r="J947">
        <f t="shared" si="43"/>
        <v>57.666666666666664</v>
      </c>
      <c r="K947" s="7" t="str">
        <f t="shared" si="44"/>
        <v>pass</v>
      </c>
    </row>
    <row r="948" spans="1:11" x14ac:dyDescent="0.25">
      <c r="A948" t="str">
        <f>PROPER(TRIM('raw data'!A948))</f>
        <v>Male</v>
      </c>
      <c r="B948" t="str">
        <f>PROPER(TRIM('raw data'!B948))</f>
        <v>Group B</v>
      </c>
      <c r="C948" s="7" t="str">
        <f>PROPER(TRIM('raw data'!C948))</f>
        <v>High School</v>
      </c>
      <c r="D948" s="7" t="str">
        <f>PROPER(TRIM('raw data'!D948))</f>
        <v>Standard</v>
      </c>
      <c r="E948" s="7" t="str">
        <f>PROPER(TRIM('raw data'!E948))</f>
        <v>None</v>
      </c>
      <c r="F948" s="8">
        <v>82</v>
      </c>
      <c r="G948" s="8">
        <v>82</v>
      </c>
      <c r="H948" s="8">
        <v>80</v>
      </c>
      <c r="I948">
        <f t="shared" si="42"/>
        <v>244</v>
      </c>
      <c r="J948">
        <f t="shared" si="43"/>
        <v>81.333333333333329</v>
      </c>
      <c r="K948" s="7" t="str">
        <f t="shared" si="44"/>
        <v>pass</v>
      </c>
    </row>
    <row r="949" spans="1:11" x14ac:dyDescent="0.25">
      <c r="A949" t="str">
        <f>PROPER(TRIM('raw data'!A949))</f>
        <v>Female</v>
      </c>
      <c r="B949" t="str">
        <f>PROPER(TRIM('raw data'!B949))</f>
        <v>Group D</v>
      </c>
      <c r="C949" s="7" t="str">
        <f>PROPER(TRIM('raw data'!C949))</f>
        <v>Some College</v>
      </c>
      <c r="D949" s="7" t="str">
        <f>PROPER(TRIM('raw data'!D949))</f>
        <v>Free/Reduced</v>
      </c>
      <c r="E949" s="7" t="str">
        <f>PROPER(TRIM('raw data'!E949))</f>
        <v>None</v>
      </c>
      <c r="F949" s="8">
        <v>49</v>
      </c>
      <c r="G949" s="8">
        <v>58</v>
      </c>
      <c r="H949" s="8">
        <v>60</v>
      </c>
      <c r="I949">
        <f t="shared" si="42"/>
        <v>167</v>
      </c>
      <c r="J949">
        <f t="shared" si="43"/>
        <v>55.666666666666664</v>
      </c>
      <c r="K949" s="7" t="str">
        <f t="shared" si="44"/>
        <v>pass</v>
      </c>
    </row>
    <row r="950" spans="1:11" x14ac:dyDescent="0.25">
      <c r="A950" t="str">
        <f>PROPER(TRIM('raw data'!A950))</f>
        <v>Male</v>
      </c>
      <c r="B950" t="str">
        <f>PROPER(TRIM('raw data'!B950))</f>
        <v>Group B</v>
      </c>
      <c r="C950" s="7" t="str">
        <f>PROPER(TRIM('raw data'!C950))</f>
        <v>Some High School</v>
      </c>
      <c r="D950" s="7" t="str">
        <f>PROPER(TRIM('raw data'!D950))</f>
        <v>Free/Reduced</v>
      </c>
      <c r="E950" s="7" t="str">
        <f>PROPER(TRIM('raw data'!E950))</f>
        <v>Completed</v>
      </c>
      <c r="F950" s="8">
        <v>49</v>
      </c>
      <c r="G950" s="8">
        <v>50</v>
      </c>
      <c r="H950" s="8">
        <v>52</v>
      </c>
      <c r="I950">
        <f t="shared" si="42"/>
        <v>151</v>
      </c>
      <c r="J950">
        <f t="shared" si="43"/>
        <v>50.333333333333336</v>
      </c>
      <c r="K950" s="7" t="str">
        <f t="shared" si="44"/>
        <v>pass</v>
      </c>
    </row>
    <row r="951" spans="1:11" x14ac:dyDescent="0.25">
      <c r="A951" t="str">
        <f>PROPER(TRIM('raw data'!A951))</f>
        <v>Female</v>
      </c>
      <c r="B951" t="str">
        <f>PROPER(TRIM('raw data'!B951))</f>
        <v>Group E</v>
      </c>
      <c r="C951" s="7" t="str">
        <f>PROPER(TRIM('raw data'!C951))</f>
        <v>High School</v>
      </c>
      <c r="D951" s="7" t="str">
        <f>PROPER(TRIM('raw data'!D951))</f>
        <v>Free/Reduced</v>
      </c>
      <c r="E951" s="7" t="str">
        <f>PROPER(TRIM('raw data'!E951))</f>
        <v>Completed</v>
      </c>
      <c r="F951" s="8">
        <v>57</v>
      </c>
      <c r="G951" s="8">
        <v>75</v>
      </c>
      <c r="H951" s="8">
        <v>73</v>
      </c>
      <c r="I951">
        <f t="shared" si="42"/>
        <v>205</v>
      </c>
      <c r="J951">
        <f t="shared" si="43"/>
        <v>68.333333333333329</v>
      </c>
      <c r="K951" s="7" t="str">
        <f t="shared" si="44"/>
        <v>pass</v>
      </c>
    </row>
    <row r="952" spans="1:11" x14ac:dyDescent="0.25">
      <c r="A952" t="str">
        <f>PROPER(TRIM('raw data'!A952))</f>
        <v>Male</v>
      </c>
      <c r="B952" t="str">
        <f>PROPER(TRIM('raw data'!B952))</f>
        <v>Group E</v>
      </c>
      <c r="C952" s="7" t="str">
        <f>PROPER(TRIM('raw data'!C952))</f>
        <v>High School</v>
      </c>
      <c r="D952" s="7" t="str">
        <f>PROPER(TRIM('raw data'!D952))</f>
        <v>Standard</v>
      </c>
      <c r="E952" s="7" t="str">
        <f>PROPER(TRIM('raw data'!E952))</f>
        <v>None</v>
      </c>
      <c r="F952" s="8">
        <v>94</v>
      </c>
      <c r="G952" s="8">
        <v>73</v>
      </c>
      <c r="H952" s="8">
        <v>71</v>
      </c>
      <c r="I952">
        <f t="shared" si="42"/>
        <v>238</v>
      </c>
      <c r="J952">
        <f t="shared" si="43"/>
        <v>79.333333333333329</v>
      </c>
      <c r="K952" s="7" t="str">
        <f t="shared" si="44"/>
        <v>pass</v>
      </c>
    </row>
    <row r="953" spans="1:11" x14ac:dyDescent="0.25">
      <c r="A953" t="str">
        <f>PROPER(TRIM('raw data'!A953))</f>
        <v>Female</v>
      </c>
      <c r="B953" t="str">
        <f>PROPER(TRIM('raw data'!B953))</f>
        <v>Group D</v>
      </c>
      <c r="C953" s="7" t="str">
        <f>PROPER(TRIM('raw data'!C953))</f>
        <v>Some College</v>
      </c>
      <c r="D953" s="7" t="str">
        <f>PROPER(TRIM('raw data'!D953))</f>
        <v>Standard</v>
      </c>
      <c r="E953" s="7" t="str">
        <f>PROPER(TRIM('raw data'!E953))</f>
        <v>Completed</v>
      </c>
      <c r="F953" s="8">
        <v>75</v>
      </c>
      <c r="G953" s="8">
        <v>77</v>
      </c>
      <c r="H953" s="8">
        <v>83</v>
      </c>
      <c r="I953">
        <f t="shared" si="42"/>
        <v>235</v>
      </c>
      <c r="J953">
        <f t="shared" si="43"/>
        <v>78.333333333333329</v>
      </c>
      <c r="K953" s="7" t="str">
        <f t="shared" si="44"/>
        <v>pass</v>
      </c>
    </row>
    <row r="954" spans="1:11" x14ac:dyDescent="0.25">
      <c r="A954" t="str">
        <f>PROPER(TRIM('raw data'!A954))</f>
        <v>Female</v>
      </c>
      <c r="B954" t="str">
        <f>PROPER(TRIM('raw data'!B954))</f>
        <v>Group E</v>
      </c>
      <c r="C954" s="7" t="str">
        <f>PROPER(TRIM('raw data'!C954))</f>
        <v>Some High School</v>
      </c>
      <c r="D954" s="7" t="str">
        <f>PROPER(TRIM('raw data'!D954))</f>
        <v>Free/Reduced</v>
      </c>
      <c r="E954" s="7" t="str">
        <f>PROPER(TRIM('raw data'!E954))</f>
        <v>None</v>
      </c>
      <c r="F954" s="8">
        <v>74</v>
      </c>
      <c r="G954" s="8">
        <v>74</v>
      </c>
      <c r="H954" s="8">
        <v>72</v>
      </c>
      <c r="I954">
        <f t="shared" si="42"/>
        <v>220</v>
      </c>
      <c r="J954">
        <f t="shared" si="43"/>
        <v>73.333333333333329</v>
      </c>
      <c r="K954" s="7" t="str">
        <f t="shared" si="44"/>
        <v>pass</v>
      </c>
    </row>
    <row r="955" spans="1:11" x14ac:dyDescent="0.25">
      <c r="A955" t="str">
        <f>PROPER(TRIM('raw data'!A955))</f>
        <v>Male</v>
      </c>
      <c r="B955" t="str">
        <f>PROPER(TRIM('raw data'!B955))</f>
        <v>Group C</v>
      </c>
      <c r="C955" s="7" t="str">
        <f>PROPER(TRIM('raw data'!C955))</f>
        <v>High School</v>
      </c>
      <c r="D955" s="7" t="str">
        <f>PROPER(TRIM('raw data'!D955))</f>
        <v>Standard</v>
      </c>
      <c r="E955" s="7" t="str">
        <f>PROPER(TRIM('raw data'!E955))</f>
        <v>Completed</v>
      </c>
      <c r="F955" s="8">
        <v>58</v>
      </c>
      <c r="G955" s="8">
        <v>52</v>
      </c>
      <c r="H955" s="8">
        <v>54</v>
      </c>
      <c r="I955">
        <f t="shared" si="42"/>
        <v>164</v>
      </c>
      <c r="J955">
        <f t="shared" si="43"/>
        <v>54.666666666666664</v>
      </c>
      <c r="K955" s="7" t="str">
        <f t="shared" si="44"/>
        <v>pass</v>
      </c>
    </row>
    <row r="956" spans="1:11" x14ac:dyDescent="0.25">
      <c r="A956" t="str">
        <f>PROPER(TRIM('raw data'!A956))</f>
        <v>Female</v>
      </c>
      <c r="B956" t="str">
        <f>PROPER(TRIM('raw data'!B956))</f>
        <v>Group C</v>
      </c>
      <c r="C956" s="7" t="str">
        <f>PROPER(TRIM('raw data'!C956))</f>
        <v>Some College</v>
      </c>
      <c r="D956" s="7" t="str">
        <f>PROPER(TRIM('raw data'!D956))</f>
        <v>Standard</v>
      </c>
      <c r="E956" s="7" t="str">
        <f>PROPER(TRIM('raw data'!E956))</f>
        <v>None</v>
      </c>
      <c r="F956" s="8">
        <v>62</v>
      </c>
      <c r="G956" s="8">
        <v>69</v>
      </c>
      <c r="H956" s="8">
        <v>69</v>
      </c>
      <c r="I956">
        <f t="shared" si="42"/>
        <v>200</v>
      </c>
      <c r="J956">
        <f t="shared" si="43"/>
        <v>66.666666666666671</v>
      </c>
      <c r="K956" s="7" t="str">
        <f t="shared" si="44"/>
        <v>pass</v>
      </c>
    </row>
    <row r="957" spans="1:11" x14ac:dyDescent="0.25">
      <c r="A957" t="str">
        <f>PROPER(TRIM('raw data'!A957))</f>
        <v>Male</v>
      </c>
      <c r="B957" t="str">
        <f>PROPER(TRIM('raw data'!B957))</f>
        <v>Group E</v>
      </c>
      <c r="C957" s="7" t="str">
        <f>PROPER(TRIM('raw data'!C957))</f>
        <v>Associate'S Degree</v>
      </c>
      <c r="D957" s="7" t="str">
        <f>PROPER(TRIM('raw data'!D957))</f>
        <v>Standard</v>
      </c>
      <c r="E957" s="7" t="str">
        <f>PROPER(TRIM('raw data'!E957))</f>
        <v>None</v>
      </c>
      <c r="F957" s="8">
        <v>72</v>
      </c>
      <c r="G957" s="8">
        <v>57</v>
      </c>
      <c r="H957" s="8">
        <v>62</v>
      </c>
      <c r="I957">
        <f t="shared" si="42"/>
        <v>191</v>
      </c>
      <c r="J957">
        <f t="shared" si="43"/>
        <v>63.666666666666664</v>
      </c>
      <c r="K957" s="7" t="str">
        <f t="shared" si="44"/>
        <v>pass</v>
      </c>
    </row>
    <row r="958" spans="1:11" x14ac:dyDescent="0.25">
      <c r="A958" t="str">
        <f>PROPER(TRIM('raw data'!A958))</f>
        <v>Male</v>
      </c>
      <c r="B958" t="str">
        <f>PROPER(TRIM('raw data'!B958))</f>
        <v>Group C</v>
      </c>
      <c r="C958" s="7" t="str">
        <f>PROPER(TRIM('raw data'!C958))</f>
        <v>Some College</v>
      </c>
      <c r="D958" s="7" t="str">
        <f>PROPER(TRIM('raw data'!D958))</f>
        <v>Standard</v>
      </c>
      <c r="E958" s="7" t="str">
        <f>PROPER(TRIM('raw data'!E958))</f>
        <v>None</v>
      </c>
      <c r="F958" s="8">
        <v>84</v>
      </c>
      <c r="G958" s="8">
        <v>87</v>
      </c>
      <c r="H958" s="8">
        <v>81</v>
      </c>
      <c r="I958">
        <f t="shared" si="42"/>
        <v>252</v>
      </c>
      <c r="J958">
        <f t="shared" si="43"/>
        <v>84</v>
      </c>
      <c r="K958" s="7" t="str">
        <f t="shared" si="44"/>
        <v>pass</v>
      </c>
    </row>
    <row r="959" spans="1:11" x14ac:dyDescent="0.25">
      <c r="A959" t="str">
        <f>PROPER(TRIM('raw data'!A959))</f>
        <v>Female</v>
      </c>
      <c r="B959" t="str">
        <f>PROPER(TRIM('raw data'!B959))</f>
        <v>Group D</v>
      </c>
      <c r="C959" s="7" t="str">
        <f>PROPER(TRIM('raw data'!C959))</f>
        <v>Master'S Degree</v>
      </c>
      <c r="D959" s="7" t="str">
        <f>PROPER(TRIM('raw data'!D959))</f>
        <v>Standard</v>
      </c>
      <c r="E959" s="7" t="str">
        <f>PROPER(TRIM('raw data'!E959))</f>
        <v>None</v>
      </c>
      <c r="F959" s="8">
        <v>92</v>
      </c>
      <c r="G959" s="8">
        <v>100</v>
      </c>
      <c r="H959" s="8">
        <v>100</v>
      </c>
      <c r="I959">
        <f t="shared" si="42"/>
        <v>292</v>
      </c>
      <c r="J959">
        <f t="shared" si="43"/>
        <v>97.333333333333329</v>
      </c>
      <c r="K959" s="7" t="str">
        <f t="shared" si="44"/>
        <v>pass</v>
      </c>
    </row>
    <row r="960" spans="1:11" x14ac:dyDescent="0.25">
      <c r="A960" t="str">
        <f>PROPER(TRIM('raw data'!A960))</f>
        <v>Female</v>
      </c>
      <c r="B960" t="str">
        <f>PROPER(TRIM('raw data'!B960))</f>
        <v>Group D</v>
      </c>
      <c r="C960" s="7" t="str">
        <f>PROPER(TRIM('raw data'!C960))</f>
        <v>High School</v>
      </c>
      <c r="D960" s="7" t="str">
        <f>PROPER(TRIM('raw data'!D960))</f>
        <v>Standard</v>
      </c>
      <c r="E960" s="7" t="str">
        <f>PROPER(TRIM('raw data'!E960))</f>
        <v>None</v>
      </c>
      <c r="F960" s="8">
        <v>45</v>
      </c>
      <c r="G960" s="8">
        <v>63</v>
      </c>
      <c r="H960" s="8">
        <v>59</v>
      </c>
      <c r="I960">
        <f t="shared" si="42"/>
        <v>167</v>
      </c>
      <c r="J960">
        <f t="shared" si="43"/>
        <v>55.666666666666664</v>
      </c>
      <c r="K960" s="7" t="str">
        <f t="shared" si="44"/>
        <v>pass</v>
      </c>
    </row>
    <row r="961" spans="1:11" x14ac:dyDescent="0.25">
      <c r="A961" t="str">
        <f>PROPER(TRIM('raw data'!A961))</f>
        <v>Male</v>
      </c>
      <c r="B961" t="str">
        <f>PROPER(TRIM('raw data'!B961))</f>
        <v>Group C</v>
      </c>
      <c r="C961" s="7" t="str">
        <f>PROPER(TRIM('raw data'!C961))</f>
        <v>High School</v>
      </c>
      <c r="D961" s="7" t="str">
        <f>PROPER(TRIM('raw data'!D961))</f>
        <v>Standard</v>
      </c>
      <c r="E961" s="7" t="str">
        <f>PROPER(TRIM('raw data'!E961))</f>
        <v>None</v>
      </c>
      <c r="F961" s="8">
        <v>75</v>
      </c>
      <c r="G961" s="8">
        <v>81</v>
      </c>
      <c r="H961" s="8">
        <v>71</v>
      </c>
      <c r="I961">
        <f t="shared" si="42"/>
        <v>227</v>
      </c>
      <c r="J961">
        <f t="shared" si="43"/>
        <v>75.666666666666671</v>
      </c>
      <c r="K961" s="7" t="str">
        <f t="shared" si="44"/>
        <v>pass</v>
      </c>
    </row>
    <row r="962" spans="1:11" x14ac:dyDescent="0.25">
      <c r="A962" t="str">
        <f>PROPER(TRIM('raw data'!A962))</f>
        <v>Female</v>
      </c>
      <c r="B962" t="str">
        <f>PROPER(TRIM('raw data'!B962))</f>
        <v>Group A</v>
      </c>
      <c r="C962" s="7" t="str">
        <f>PROPER(TRIM('raw data'!C962))</f>
        <v>Some College</v>
      </c>
      <c r="D962" s="7" t="str">
        <f>PROPER(TRIM('raw data'!D962))</f>
        <v>Standard</v>
      </c>
      <c r="E962" s="7" t="str">
        <f>PROPER(TRIM('raw data'!E962))</f>
        <v>None</v>
      </c>
      <c r="F962" s="8">
        <v>56</v>
      </c>
      <c r="G962" s="8">
        <v>58</v>
      </c>
      <c r="H962" s="8">
        <v>64</v>
      </c>
      <c r="I962">
        <f t="shared" si="42"/>
        <v>178</v>
      </c>
      <c r="J962">
        <f t="shared" si="43"/>
        <v>59.333333333333336</v>
      </c>
      <c r="K962" s="7" t="str">
        <f t="shared" si="44"/>
        <v>pass</v>
      </c>
    </row>
    <row r="963" spans="1:11" x14ac:dyDescent="0.25">
      <c r="A963" t="str">
        <f>PROPER(TRIM('raw data'!A963))</f>
        <v>Female</v>
      </c>
      <c r="B963" t="str">
        <f>PROPER(TRIM('raw data'!B963))</f>
        <v>Group D</v>
      </c>
      <c r="C963" s="7" t="str">
        <f>PROPER(TRIM('raw data'!C963))</f>
        <v>Some High School</v>
      </c>
      <c r="D963" s="7" t="str">
        <f>PROPER(TRIM('raw data'!D963))</f>
        <v>Free/Reduced</v>
      </c>
      <c r="E963" s="7" t="str">
        <f>PROPER(TRIM('raw data'!E963))</f>
        <v>None</v>
      </c>
      <c r="F963" s="8">
        <v>48</v>
      </c>
      <c r="G963" s="8">
        <v>54</v>
      </c>
      <c r="H963" s="8">
        <v>53</v>
      </c>
      <c r="I963">
        <f t="shared" ref="I963:I1001" si="45">F963+G963+H963</f>
        <v>155</v>
      </c>
      <c r="J963">
        <f t="shared" ref="J963:J1001" si="46">I963/3</f>
        <v>51.666666666666664</v>
      </c>
      <c r="K963" s="7" t="str">
        <f t="shared" ref="K963:K1001" si="47">IF(J963&gt;=40,"pass","fail")</f>
        <v>pass</v>
      </c>
    </row>
    <row r="964" spans="1:11" x14ac:dyDescent="0.25">
      <c r="A964" t="str">
        <f>PROPER(TRIM('raw data'!A964))</f>
        <v>Female</v>
      </c>
      <c r="B964" t="str">
        <f>PROPER(TRIM('raw data'!B964))</f>
        <v>Group E</v>
      </c>
      <c r="C964" s="7" t="str">
        <f>PROPER(TRIM('raw data'!C964))</f>
        <v>Associate'S Degree</v>
      </c>
      <c r="D964" s="7" t="str">
        <f>PROPER(TRIM('raw data'!D964))</f>
        <v>Standard</v>
      </c>
      <c r="E964" s="7" t="str">
        <f>PROPER(TRIM('raw data'!E964))</f>
        <v>None</v>
      </c>
      <c r="F964" s="8">
        <v>100</v>
      </c>
      <c r="G964" s="8">
        <v>100</v>
      </c>
      <c r="H964" s="8">
        <v>100</v>
      </c>
      <c r="I964">
        <f t="shared" si="45"/>
        <v>300</v>
      </c>
      <c r="J964">
        <f t="shared" si="46"/>
        <v>100</v>
      </c>
      <c r="K964" s="7" t="str">
        <f t="shared" si="47"/>
        <v>pass</v>
      </c>
    </row>
    <row r="965" spans="1:11" x14ac:dyDescent="0.25">
      <c r="A965" t="str">
        <f>PROPER(TRIM('raw data'!A965))</f>
        <v>Female</v>
      </c>
      <c r="B965" t="str">
        <f>PROPER(TRIM('raw data'!B965))</f>
        <v>Group C</v>
      </c>
      <c r="C965" s="7" t="str">
        <f>PROPER(TRIM('raw data'!C965))</f>
        <v>Some High School</v>
      </c>
      <c r="D965" s="7" t="str">
        <f>PROPER(TRIM('raw data'!D965))</f>
        <v>Free/Reduced</v>
      </c>
      <c r="E965" s="7" t="str">
        <f>PROPER(TRIM('raw data'!E965))</f>
        <v>Completed</v>
      </c>
      <c r="F965" s="8">
        <v>65</v>
      </c>
      <c r="G965" s="8">
        <v>76</v>
      </c>
      <c r="H965" s="8">
        <v>75</v>
      </c>
      <c r="I965">
        <f t="shared" si="45"/>
        <v>216</v>
      </c>
      <c r="J965">
        <f t="shared" si="46"/>
        <v>72</v>
      </c>
      <c r="K965" s="7" t="str">
        <f t="shared" si="47"/>
        <v>pass</v>
      </c>
    </row>
    <row r="966" spans="1:11" x14ac:dyDescent="0.25">
      <c r="A966" t="str">
        <f>PROPER(TRIM('raw data'!A966))</f>
        <v>Male</v>
      </c>
      <c r="B966" t="str">
        <f>PROPER(TRIM('raw data'!B966))</f>
        <v>Group D</v>
      </c>
      <c r="C966" s="7" t="str">
        <f>PROPER(TRIM('raw data'!C966))</f>
        <v>Some College</v>
      </c>
      <c r="D966" s="7" t="str">
        <f>PROPER(TRIM('raw data'!D966))</f>
        <v>Standard</v>
      </c>
      <c r="E966" s="7" t="str">
        <f>PROPER(TRIM('raw data'!E966))</f>
        <v>None</v>
      </c>
      <c r="F966" s="8">
        <v>72</v>
      </c>
      <c r="G966" s="8">
        <v>57</v>
      </c>
      <c r="H966" s="8">
        <v>58</v>
      </c>
      <c r="I966">
        <f t="shared" si="45"/>
        <v>187</v>
      </c>
      <c r="J966">
        <f t="shared" si="46"/>
        <v>62.333333333333336</v>
      </c>
      <c r="K966" s="7" t="str">
        <f t="shared" si="47"/>
        <v>pass</v>
      </c>
    </row>
    <row r="967" spans="1:11" x14ac:dyDescent="0.25">
      <c r="A967" t="str">
        <f>PROPER(TRIM('raw data'!A967))</f>
        <v>Female</v>
      </c>
      <c r="B967" t="str">
        <f>PROPER(TRIM('raw data'!B967))</f>
        <v>Group D</v>
      </c>
      <c r="C967" s="7" t="str">
        <f>PROPER(TRIM('raw data'!C967))</f>
        <v>Some College</v>
      </c>
      <c r="D967" s="7" t="str">
        <f>PROPER(TRIM('raw data'!D967))</f>
        <v>Standard</v>
      </c>
      <c r="E967" s="7" t="str">
        <f>PROPER(TRIM('raw data'!E967))</f>
        <v>None</v>
      </c>
      <c r="F967" s="8">
        <v>62</v>
      </c>
      <c r="G967" s="8">
        <v>70</v>
      </c>
      <c r="H967" s="8">
        <v>72</v>
      </c>
      <c r="I967">
        <f t="shared" si="45"/>
        <v>204</v>
      </c>
      <c r="J967">
        <f t="shared" si="46"/>
        <v>68</v>
      </c>
      <c r="K967" s="7" t="str">
        <f t="shared" si="47"/>
        <v>pass</v>
      </c>
    </row>
    <row r="968" spans="1:11" x14ac:dyDescent="0.25">
      <c r="A968" t="str">
        <f>PROPER(TRIM('raw data'!A968))</f>
        <v>Male</v>
      </c>
      <c r="B968" t="str">
        <f>PROPER(TRIM('raw data'!B968))</f>
        <v>Group A</v>
      </c>
      <c r="C968" s="7" t="str">
        <f>PROPER(TRIM('raw data'!C968))</f>
        <v>Some High School</v>
      </c>
      <c r="D968" s="7" t="str">
        <f>PROPER(TRIM('raw data'!D968))</f>
        <v>Standard</v>
      </c>
      <c r="E968" s="7" t="str">
        <f>PROPER(TRIM('raw data'!E968))</f>
        <v>Completed</v>
      </c>
      <c r="F968" s="8">
        <v>66</v>
      </c>
      <c r="G968" s="8">
        <v>68</v>
      </c>
      <c r="H968" s="8">
        <v>64</v>
      </c>
      <c r="I968">
        <f t="shared" si="45"/>
        <v>198</v>
      </c>
      <c r="J968">
        <f t="shared" si="46"/>
        <v>66</v>
      </c>
      <c r="K968" s="7" t="str">
        <f t="shared" si="47"/>
        <v>pass</v>
      </c>
    </row>
    <row r="969" spans="1:11" x14ac:dyDescent="0.25">
      <c r="A969" t="str">
        <f>PROPER(TRIM('raw data'!A969))</f>
        <v>Male</v>
      </c>
      <c r="B969" t="str">
        <f>PROPER(TRIM('raw data'!B969))</f>
        <v>Group C</v>
      </c>
      <c r="C969" s="7" t="str">
        <f>PROPER(TRIM('raw data'!C969))</f>
        <v>Some College</v>
      </c>
      <c r="D969" s="7" t="str">
        <f>PROPER(TRIM('raw data'!D969))</f>
        <v>Standard</v>
      </c>
      <c r="E969" s="7" t="str">
        <f>PROPER(TRIM('raw data'!E969))</f>
        <v>None</v>
      </c>
      <c r="F969" s="8">
        <v>63</v>
      </c>
      <c r="G969" s="8">
        <v>63</v>
      </c>
      <c r="H969" s="8">
        <v>60</v>
      </c>
      <c r="I969">
        <f t="shared" si="45"/>
        <v>186</v>
      </c>
      <c r="J969">
        <f t="shared" si="46"/>
        <v>62</v>
      </c>
      <c r="K969" s="7" t="str">
        <f t="shared" si="47"/>
        <v>pass</v>
      </c>
    </row>
    <row r="970" spans="1:11" x14ac:dyDescent="0.25">
      <c r="A970" t="str">
        <f>PROPER(TRIM('raw data'!A970))</f>
        <v>Female</v>
      </c>
      <c r="B970" t="str">
        <f>PROPER(TRIM('raw data'!B970))</f>
        <v>Group E</v>
      </c>
      <c r="C970" s="7" t="str">
        <f>PROPER(TRIM('raw data'!C970))</f>
        <v>Associate'S Degree</v>
      </c>
      <c r="D970" s="7" t="str">
        <f>PROPER(TRIM('raw data'!D970))</f>
        <v>Standard</v>
      </c>
      <c r="E970" s="7" t="str">
        <f>PROPER(TRIM('raw data'!E970))</f>
        <v>None</v>
      </c>
      <c r="F970" s="8">
        <v>68</v>
      </c>
      <c r="G970" s="8">
        <v>76</v>
      </c>
      <c r="H970" s="8">
        <v>67</v>
      </c>
      <c r="I970">
        <f t="shared" si="45"/>
        <v>211</v>
      </c>
      <c r="J970">
        <f t="shared" si="46"/>
        <v>70.333333333333329</v>
      </c>
      <c r="K970" s="7" t="str">
        <f t="shared" si="47"/>
        <v>pass</v>
      </c>
    </row>
    <row r="971" spans="1:11" x14ac:dyDescent="0.25">
      <c r="A971" t="str">
        <f>PROPER(TRIM('raw data'!A971))</f>
        <v>Female</v>
      </c>
      <c r="B971" t="str">
        <f>PROPER(TRIM('raw data'!B971))</f>
        <v>Group B</v>
      </c>
      <c r="C971" s="7" t="str">
        <f>PROPER(TRIM('raw data'!C971))</f>
        <v>Bachelor'S Degree</v>
      </c>
      <c r="D971" s="7" t="str">
        <f>PROPER(TRIM('raw data'!D971))</f>
        <v>Standard</v>
      </c>
      <c r="E971" s="7" t="str">
        <f>PROPER(TRIM('raw data'!E971))</f>
        <v>None</v>
      </c>
      <c r="F971" s="8">
        <v>75</v>
      </c>
      <c r="G971" s="8">
        <v>84</v>
      </c>
      <c r="H971" s="8">
        <v>80</v>
      </c>
      <c r="I971">
        <f t="shared" si="45"/>
        <v>239</v>
      </c>
      <c r="J971">
        <f t="shared" si="46"/>
        <v>79.666666666666671</v>
      </c>
      <c r="K971" s="7" t="str">
        <f t="shared" si="47"/>
        <v>pass</v>
      </c>
    </row>
    <row r="972" spans="1:11" x14ac:dyDescent="0.25">
      <c r="A972" t="str">
        <f>PROPER(TRIM('raw data'!A972))</f>
        <v>Female</v>
      </c>
      <c r="B972" t="str">
        <f>PROPER(TRIM('raw data'!B972))</f>
        <v>Group D</v>
      </c>
      <c r="C972" s="7" t="str">
        <f>PROPER(TRIM('raw data'!C972))</f>
        <v>Bachelor'S Degree</v>
      </c>
      <c r="D972" s="7" t="str">
        <f>PROPER(TRIM('raw data'!D972))</f>
        <v>Standard</v>
      </c>
      <c r="E972" s="7" t="str">
        <f>PROPER(TRIM('raw data'!E972))</f>
        <v>None</v>
      </c>
      <c r="F972" s="8">
        <v>89</v>
      </c>
      <c r="G972" s="8">
        <v>100</v>
      </c>
      <c r="H972" s="8">
        <v>100</v>
      </c>
      <c r="I972">
        <f t="shared" si="45"/>
        <v>289</v>
      </c>
      <c r="J972">
        <f t="shared" si="46"/>
        <v>96.333333333333329</v>
      </c>
      <c r="K972" s="7" t="str">
        <f t="shared" si="47"/>
        <v>pass</v>
      </c>
    </row>
    <row r="973" spans="1:11" x14ac:dyDescent="0.25">
      <c r="A973" t="str">
        <f>PROPER(TRIM('raw data'!A973))</f>
        <v>Male</v>
      </c>
      <c r="B973" t="str">
        <f>PROPER(TRIM('raw data'!B973))</f>
        <v>Group C</v>
      </c>
      <c r="C973" s="7" t="str">
        <f>PROPER(TRIM('raw data'!C973))</f>
        <v>Some High School</v>
      </c>
      <c r="D973" s="7" t="str">
        <f>PROPER(TRIM('raw data'!D973))</f>
        <v>Standard</v>
      </c>
      <c r="E973" s="7" t="str">
        <f>PROPER(TRIM('raw data'!E973))</f>
        <v>Completed</v>
      </c>
      <c r="F973" s="8">
        <v>78</v>
      </c>
      <c r="G973" s="8">
        <v>72</v>
      </c>
      <c r="H973" s="8">
        <v>69</v>
      </c>
      <c r="I973">
        <f t="shared" si="45"/>
        <v>219</v>
      </c>
      <c r="J973">
        <f t="shared" si="46"/>
        <v>73</v>
      </c>
      <c r="K973" s="7" t="str">
        <f t="shared" si="47"/>
        <v>pass</v>
      </c>
    </row>
    <row r="974" spans="1:11" x14ac:dyDescent="0.25">
      <c r="A974" t="str">
        <f>PROPER(TRIM('raw data'!A974))</f>
        <v>Female</v>
      </c>
      <c r="B974" t="str">
        <f>PROPER(TRIM('raw data'!B974))</f>
        <v>Group A</v>
      </c>
      <c r="C974" s="7" t="str">
        <f>PROPER(TRIM('raw data'!C974))</f>
        <v>High School</v>
      </c>
      <c r="D974" s="7" t="str">
        <f>PROPER(TRIM('raw data'!D974))</f>
        <v>Free/Reduced</v>
      </c>
      <c r="E974" s="7" t="str">
        <f>PROPER(TRIM('raw data'!E974))</f>
        <v>Completed</v>
      </c>
      <c r="F974" s="8">
        <v>53</v>
      </c>
      <c r="G974" s="8">
        <v>50</v>
      </c>
      <c r="H974" s="8">
        <v>60</v>
      </c>
      <c r="I974">
        <f t="shared" si="45"/>
        <v>163</v>
      </c>
      <c r="J974">
        <f t="shared" si="46"/>
        <v>54.333333333333336</v>
      </c>
      <c r="K974" s="7" t="str">
        <f t="shared" si="47"/>
        <v>pass</v>
      </c>
    </row>
    <row r="975" spans="1:11" x14ac:dyDescent="0.25">
      <c r="A975" t="str">
        <f>PROPER(TRIM('raw data'!A975))</f>
        <v>Female</v>
      </c>
      <c r="B975" t="str">
        <f>PROPER(TRIM('raw data'!B975))</f>
        <v>Group D</v>
      </c>
      <c r="C975" s="7" t="str">
        <f>PROPER(TRIM('raw data'!C975))</f>
        <v>Some College</v>
      </c>
      <c r="D975" s="7" t="str">
        <f>PROPER(TRIM('raw data'!D975))</f>
        <v>Free/Reduced</v>
      </c>
      <c r="E975" s="7" t="str">
        <f>PROPER(TRIM('raw data'!E975))</f>
        <v>None</v>
      </c>
      <c r="F975" s="8">
        <v>49</v>
      </c>
      <c r="G975" s="8">
        <v>65</v>
      </c>
      <c r="H975" s="8">
        <v>61</v>
      </c>
      <c r="I975">
        <f t="shared" si="45"/>
        <v>175</v>
      </c>
      <c r="J975">
        <f t="shared" si="46"/>
        <v>58.333333333333336</v>
      </c>
      <c r="K975" s="7" t="str">
        <f t="shared" si="47"/>
        <v>pass</v>
      </c>
    </row>
    <row r="976" spans="1:11" x14ac:dyDescent="0.25">
      <c r="A976" t="str">
        <f>PROPER(TRIM('raw data'!A976))</f>
        <v>Female</v>
      </c>
      <c r="B976" t="str">
        <f>PROPER(TRIM('raw data'!B976))</f>
        <v>Group A</v>
      </c>
      <c r="C976" s="7" t="str">
        <f>PROPER(TRIM('raw data'!C976))</f>
        <v>Some College</v>
      </c>
      <c r="D976" s="7" t="str">
        <f>PROPER(TRIM('raw data'!D976))</f>
        <v>Standard</v>
      </c>
      <c r="E976" s="7" t="str">
        <f>PROPER(TRIM('raw data'!E976))</f>
        <v>None</v>
      </c>
      <c r="F976" s="8">
        <v>54</v>
      </c>
      <c r="G976" s="8">
        <v>63</v>
      </c>
      <c r="H976" s="8">
        <v>67</v>
      </c>
      <c r="I976">
        <f t="shared" si="45"/>
        <v>184</v>
      </c>
      <c r="J976">
        <f t="shared" si="46"/>
        <v>61.333333333333336</v>
      </c>
      <c r="K976" s="7" t="str">
        <f t="shared" si="47"/>
        <v>pass</v>
      </c>
    </row>
    <row r="977" spans="1:11" x14ac:dyDescent="0.25">
      <c r="A977" t="str">
        <f>PROPER(TRIM('raw data'!A977))</f>
        <v>Female</v>
      </c>
      <c r="B977" t="str">
        <f>PROPER(TRIM('raw data'!B977))</f>
        <v>Group C</v>
      </c>
      <c r="C977" s="7" t="str">
        <f>PROPER(TRIM('raw data'!C977))</f>
        <v>Some College</v>
      </c>
      <c r="D977" s="7" t="str">
        <f>PROPER(TRIM('raw data'!D977))</f>
        <v>Standard</v>
      </c>
      <c r="E977" s="7" t="str">
        <f>PROPER(TRIM('raw data'!E977))</f>
        <v>Completed</v>
      </c>
      <c r="F977" s="8">
        <v>64</v>
      </c>
      <c r="G977" s="8">
        <v>82</v>
      </c>
      <c r="H977" s="8">
        <v>77</v>
      </c>
      <c r="I977">
        <f t="shared" si="45"/>
        <v>223</v>
      </c>
      <c r="J977">
        <f t="shared" si="46"/>
        <v>74.333333333333329</v>
      </c>
      <c r="K977" s="7" t="str">
        <f t="shared" si="47"/>
        <v>pass</v>
      </c>
    </row>
    <row r="978" spans="1:11" x14ac:dyDescent="0.25">
      <c r="A978" t="str">
        <f>PROPER(TRIM('raw data'!A978))</f>
        <v>Male</v>
      </c>
      <c r="B978" t="str">
        <f>PROPER(TRIM('raw data'!B978))</f>
        <v>Group B</v>
      </c>
      <c r="C978" s="7" t="str">
        <f>PROPER(TRIM('raw data'!C978))</f>
        <v>Some College</v>
      </c>
      <c r="D978" s="7" t="str">
        <f>PROPER(TRIM('raw data'!D978))</f>
        <v>Free/Reduced</v>
      </c>
      <c r="E978" s="7" t="str">
        <f>PROPER(TRIM('raw data'!E978))</f>
        <v>Completed</v>
      </c>
      <c r="F978" s="8">
        <v>60</v>
      </c>
      <c r="G978" s="8">
        <v>62</v>
      </c>
      <c r="H978" s="8">
        <v>60</v>
      </c>
      <c r="I978">
        <f t="shared" si="45"/>
        <v>182</v>
      </c>
      <c r="J978">
        <f t="shared" si="46"/>
        <v>60.666666666666664</v>
      </c>
      <c r="K978" s="7" t="str">
        <f t="shared" si="47"/>
        <v>pass</v>
      </c>
    </row>
    <row r="979" spans="1:11" x14ac:dyDescent="0.25">
      <c r="A979" t="str">
        <f>PROPER(TRIM('raw data'!A979))</f>
        <v>Male</v>
      </c>
      <c r="B979" t="str">
        <f>PROPER(TRIM('raw data'!B979))</f>
        <v>Group C</v>
      </c>
      <c r="C979" s="7" t="str">
        <f>PROPER(TRIM('raw data'!C979))</f>
        <v>Associate'S Degree</v>
      </c>
      <c r="D979" s="7" t="str">
        <f>PROPER(TRIM('raw data'!D979))</f>
        <v>Standard</v>
      </c>
      <c r="E979" s="7" t="str">
        <f>PROPER(TRIM('raw data'!E979))</f>
        <v>None</v>
      </c>
      <c r="F979" s="8">
        <v>62</v>
      </c>
      <c r="G979" s="8">
        <v>65</v>
      </c>
      <c r="H979" s="8">
        <v>58</v>
      </c>
      <c r="I979">
        <f t="shared" si="45"/>
        <v>185</v>
      </c>
      <c r="J979">
        <f t="shared" si="46"/>
        <v>61.666666666666664</v>
      </c>
      <c r="K979" s="7" t="str">
        <f t="shared" si="47"/>
        <v>pass</v>
      </c>
    </row>
    <row r="980" spans="1:11" x14ac:dyDescent="0.25">
      <c r="A980" t="str">
        <f>PROPER(TRIM('raw data'!A980))</f>
        <v>Male</v>
      </c>
      <c r="B980" t="str">
        <f>PROPER(TRIM('raw data'!B980))</f>
        <v>Group D</v>
      </c>
      <c r="C980" s="7" t="str">
        <f>PROPER(TRIM('raw data'!C980))</f>
        <v>High School</v>
      </c>
      <c r="D980" s="7" t="str">
        <f>PROPER(TRIM('raw data'!D980))</f>
        <v>Standard</v>
      </c>
      <c r="E980" s="7" t="str">
        <f>PROPER(TRIM('raw data'!E980))</f>
        <v>Completed</v>
      </c>
      <c r="F980" s="8">
        <v>55</v>
      </c>
      <c r="G980" s="8">
        <v>41</v>
      </c>
      <c r="H980" s="8">
        <v>48</v>
      </c>
      <c r="I980">
        <f t="shared" si="45"/>
        <v>144</v>
      </c>
      <c r="J980">
        <f t="shared" si="46"/>
        <v>48</v>
      </c>
      <c r="K980" s="7" t="str">
        <f t="shared" si="47"/>
        <v>pass</v>
      </c>
    </row>
    <row r="981" spans="1:11" x14ac:dyDescent="0.25">
      <c r="A981" t="str">
        <f>PROPER(TRIM('raw data'!A981))</f>
        <v>Female</v>
      </c>
      <c r="B981" t="str">
        <f>PROPER(TRIM('raw data'!B981))</f>
        <v>Group C</v>
      </c>
      <c r="C981" s="7" t="str">
        <f>PROPER(TRIM('raw data'!C981))</f>
        <v>Associate'S Degree</v>
      </c>
      <c r="D981" s="7" t="str">
        <f>PROPER(TRIM('raw data'!D981))</f>
        <v>Standard</v>
      </c>
      <c r="E981" s="7" t="str">
        <f>PROPER(TRIM('raw data'!E981))</f>
        <v>None</v>
      </c>
      <c r="F981" s="8">
        <v>91</v>
      </c>
      <c r="G981" s="8">
        <v>95</v>
      </c>
      <c r="H981" s="8">
        <v>94</v>
      </c>
      <c r="I981">
        <f t="shared" si="45"/>
        <v>280</v>
      </c>
      <c r="J981">
        <f t="shared" si="46"/>
        <v>93.333333333333329</v>
      </c>
      <c r="K981" s="7" t="str">
        <f t="shared" si="47"/>
        <v>pass</v>
      </c>
    </row>
    <row r="982" spans="1:11" x14ac:dyDescent="0.25">
      <c r="A982" t="str">
        <f>PROPER(TRIM('raw data'!A982))</f>
        <v>Female</v>
      </c>
      <c r="B982" t="str">
        <f>PROPER(TRIM('raw data'!B982))</f>
        <v>Group B</v>
      </c>
      <c r="C982" s="7" t="str">
        <f>PROPER(TRIM('raw data'!C982))</f>
        <v>High School</v>
      </c>
      <c r="D982" s="7" t="str">
        <f>PROPER(TRIM('raw data'!D982))</f>
        <v>Free/Reduced</v>
      </c>
      <c r="E982" s="7" t="str">
        <f>PROPER(TRIM('raw data'!E982))</f>
        <v>None</v>
      </c>
      <c r="F982" s="8">
        <v>8</v>
      </c>
      <c r="G982" s="8">
        <v>24</v>
      </c>
      <c r="H982" s="8">
        <v>23</v>
      </c>
      <c r="I982">
        <f t="shared" si="45"/>
        <v>55</v>
      </c>
      <c r="J982">
        <f t="shared" si="46"/>
        <v>18.333333333333332</v>
      </c>
      <c r="K982" s="7" t="str">
        <f t="shared" si="47"/>
        <v>fail</v>
      </c>
    </row>
    <row r="983" spans="1:11" x14ac:dyDescent="0.25">
      <c r="A983" t="str">
        <f>PROPER(TRIM('raw data'!A983))</f>
        <v>Male</v>
      </c>
      <c r="B983" t="str">
        <f>PROPER(TRIM('raw data'!B983))</f>
        <v>Group D</v>
      </c>
      <c r="C983" s="7" t="str">
        <f>PROPER(TRIM('raw data'!C983))</f>
        <v>Some High School</v>
      </c>
      <c r="D983" s="7" t="str">
        <f>PROPER(TRIM('raw data'!D983))</f>
        <v>Standard</v>
      </c>
      <c r="E983" s="7" t="str">
        <f>PROPER(TRIM('raw data'!E983))</f>
        <v>None</v>
      </c>
      <c r="F983" s="8">
        <v>81</v>
      </c>
      <c r="G983" s="8">
        <v>78</v>
      </c>
      <c r="H983" s="8">
        <v>78</v>
      </c>
      <c r="I983">
        <f t="shared" si="45"/>
        <v>237</v>
      </c>
      <c r="J983">
        <f t="shared" si="46"/>
        <v>79</v>
      </c>
      <c r="K983" s="7" t="str">
        <f t="shared" si="47"/>
        <v>pass</v>
      </c>
    </row>
    <row r="984" spans="1:11" x14ac:dyDescent="0.25">
      <c r="A984" t="str">
        <f>PROPER(TRIM('raw data'!A984))</f>
        <v>Male</v>
      </c>
      <c r="B984" t="str">
        <f>PROPER(TRIM('raw data'!B984))</f>
        <v>Group B</v>
      </c>
      <c r="C984" s="7" t="str">
        <f>PROPER(TRIM('raw data'!C984))</f>
        <v>Some High School</v>
      </c>
      <c r="D984" s="7" t="str">
        <f>PROPER(TRIM('raw data'!D984))</f>
        <v>Standard</v>
      </c>
      <c r="E984" s="7" t="str">
        <f>PROPER(TRIM('raw data'!E984))</f>
        <v>Completed</v>
      </c>
      <c r="F984" s="8">
        <v>79</v>
      </c>
      <c r="G984" s="8">
        <v>85</v>
      </c>
      <c r="H984" s="8">
        <v>86</v>
      </c>
      <c r="I984">
        <f t="shared" si="45"/>
        <v>250</v>
      </c>
      <c r="J984">
        <f t="shared" si="46"/>
        <v>83.333333333333329</v>
      </c>
      <c r="K984" s="7" t="str">
        <f t="shared" si="47"/>
        <v>pass</v>
      </c>
    </row>
    <row r="985" spans="1:11" x14ac:dyDescent="0.25">
      <c r="A985" t="str">
        <f>PROPER(TRIM('raw data'!A985))</f>
        <v>Female</v>
      </c>
      <c r="B985" t="str">
        <f>PROPER(TRIM('raw data'!B985))</f>
        <v>Group A</v>
      </c>
      <c r="C985" s="7" t="str">
        <f>PROPER(TRIM('raw data'!C985))</f>
        <v>Some College</v>
      </c>
      <c r="D985" s="7" t="str">
        <f>PROPER(TRIM('raw data'!D985))</f>
        <v>Standard</v>
      </c>
      <c r="E985" s="7" t="str">
        <f>PROPER(TRIM('raw data'!E985))</f>
        <v>Completed</v>
      </c>
      <c r="F985" s="8">
        <v>78</v>
      </c>
      <c r="G985" s="8">
        <v>87</v>
      </c>
      <c r="H985" s="8">
        <v>91</v>
      </c>
      <c r="I985">
        <f t="shared" si="45"/>
        <v>256</v>
      </c>
      <c r="J985">
        <f t="shared" si="46"/>
        <v>85.333333333333329</v>
      </c>
      <c r="K985" s="7" t="str">
        <f t="shared" si="47"/>
        <v>pass</v>
      </c>
    </row>
    <row r="986" spans="1:11" x14ac:dyDescent="0.25">
      <c r="A986" t="str">
        <f>PROPER(TRIM('raw data'!A986))</f>
        <v>Female</v>
      </c>
      <c r="B986" t="str">
        <f>PROPER(TRIM('raw data'!B986))</f>
        <v>Group C</v>
      </c>
      <c r="C986" s="7" t="str">
        <f>PROPER(TRIM('raw data'!C986))</f>
        <v>Some High School</v>
      </c>
      <c r="D986" s="7" t="str">
        <f>PROPER(TRIM('raw data'!D986))</f>
        <v>Standard</v>
      </c>
      <c r="E986" s="7" t="str">
        <f>PROPER(TRIM('raw data'!E986))</f>
        <v>None</v>
      </c>
      <c r="F986" s="8">
        <v>74</v>
      </c>
      <c r="G986" s="8">
        <v>75</v>
      </c>
      <c r="H986" s="8">
        <v>82</v>
      </c>
      <c r="I986">
        <f t="shared" si="45"/>
        <v>231</v>
      </c>
      <c r="J986">
        <f t="shared" si="46"/>
        <v>77</v>
      </c>
      <c r="K986" s="7" t="str">
        <f t="shared" si="47"/>
        <v>pass</v>
      </c>
    </row>
    <row r="987" spans="1:11" x14ac:dyDescent="0.25">
      <c r="A987" t="str">
        <f>PROPER(TRIM('raw data'!A987))</f>
        <v>Male</v>
      </c>
      <c r="B987" t="str">
        <f>PROPER(TRIM('raw data'!B987))</f>
        <v>Group A</v>
      </c>
      <c r="C987" s="7" t="str">
        <f>PROPER(TRIM('raw data'!C987))</f>
        <v>High School</v>
      </c>
      <c r="D987" s="7" t="str">
        <f>PROPER(TRIM('raw data'!D987))</f>
        <v>Standard</v>
      </c>
      <c r="E987" s="7" t="str">
        <f>PROPER(TRIM('raw data'!E987))</f>
        <v>None</v>
      </c>
      <c r="F987" s="8">
        <v>57</v>
      </c>
      <c r="G987" s="8">
        <v>51</v>
      </c>
      <c r="H987" s="8">
        <v>54</v>
      </c>
      <c r="I987">
        <f t="shared" si="45"/>
        <v>162</v>
      </c>
      <c r="J987">
        <f t="shared" si="46"/>
        <v>54</v>
      </c>
      <c r="K987" s="7" t="str">
        <f t="shared" si="47"/>
        <v>pass</v>
      </c>
    </row>
    <row r="988" spans="1:11" x14ac:dyDescent="0.25">
      <c r="A988" t="str">
        <f>PROPER(TRIM('raw data'!A988))</f>
        <v>Female</v>
      </c>
      <c r="B988" t="str">
        <f>PROPER(TRIM('raw data'!B988))</f>
        <v>Group C</v>
      </c>
      <c r="C988" s="7" t="str">
        <f>PROPER(TRIM('raw data'!C988))</f>
        <v>Associate'S Degree</v>
      </c>
      <c r="D988" s="7" t="str">
        <f>PROPER(TRIM('raw data'!D988))</f>
        <v>Standard</v>
      </c>
      <c r="E988" s="7" t="str">
        <f>PROPER(TRIM('raw data'!E988))</f>
        <v>None</v>
      </c>
      <c r="F988" s="8">
        <v>40</v>
      </c>
      <c r="G988" s="8">
        <v>59</v>
      </c>
      <c r="H988" s="8">
        <v>51</v>
      </c>
      <c r="I988">
        <f t="shared" si="45"/>
        <v>150</v>
      </c>
      <c r="J988">
        <f t="shared" si="46"/>
        <v>50</v>
      </c>
      <c r="K988" s="7" t="str">
        <f t="shared" si="47"/>
        <v>pass</v>
      </c>
    </row>
    <row r="989" spans="1:11" x14ac:dyDescent="0.25">
      <c r="A989" t="str">
        <f>PROPER(TRIM('raw data'!A989))</f>
        <v>Male</v>
      </c>
      <c r="B989" t="str">
        <f>PROPER(TRIM('raw data'!B989))</f>
        <v>Group E</v>
      </c>
      <c r="C989" s="7" t="str">
        <f>PROPER(TRIM('raw data'!C989))</f>
        <v>Some High School</v>
      </c>
      <c r="D989" s="7" t="str">
        <f>PROPER(TRIM('raw data'!D989))</f>
        <v>Standard</v>
      </c>
      <c r="E989" s="7" t="str">
        <f>PROPER(TRIM('raw data'!E989))</f>
        <v>Completed</v>
      </c>
      <c r="F989" s="8">
        <v>81</v>
      </c>
      <c r="G989" s="8">
        <v>75</v>
      </c>
      <c r="H989" s="8">
        <v>76</v>
      </c>
      <c r="I989">
        <f t="shared" si="45"/>
        <v>232</v>
      </c>
      <c r="J989">
        <f t="shared" si="46"/>
        <v>77.333333333333329</v>
      </c>
      <c r="K989" s="7" t="str">
        <f t="shared" si="47"/>
        <v>pass</v>
      </c>
    </row>
    <row r="990" spans="1:11" x14ac:dyDescent="0.25">
      <c r="A990" t="str">
        <f>PROPER(TRIM('raw data'!A990))</f>
        <v>Female</v>
      </c>
      <c r="B990" t="str">
        <f>PROPER(TRIM('raw data'!B990))</f>
        <v>Group A</v>
      </c>
      <c r="C990" s="7" t="str">
        <f>PROPER(TRIM('raw data'!C990))</f>
        <v>Some High School</v>
      </c>
      <c r="D990" s="7" t="str">
        <f>PROPER(TRIM('raw data'!D990))</f>
        <v>Free/Reduced</v>
      </c>
      <c r="E990" s="7" t="str">
        <f>PROPER(TRIM('raw data'!E990))</f>
        <v>None</v>
      </c>
      <c r="F990" s="8">
        <v>44</v>
      </c>
      <c r="G990" s="8">
        <v>45</v>
      </c>
      <c r="H990" s="8">
        <v>45</v>
      </c>
      <c r="I990">
        <f t="shared" si="45"/>
        <v>134</v>
      </c>
      <c r="J990">
        <f t="shared" si="46"/>
        <v>44.666666666666664</v>
      </c>
      <c r="K990" s="7" t="str">
        <f t="shared" si="47"/>
        <v>pass</v>
      </c>
    </row>
    <row r="991" spans="1:11" x14ac:dyDescent="0.25">
      <c r="A991" t="str">
        <f>PROPER(TRIM('raw data'!A991))</f>
        <v>Female</v>
      </c>
      <c r="B991" t="str">
        <f>PROPER(TRIM('raw data'!B991))</f>
        <v>Group D</v>
      </c>
      <c r="C991" s="7" t="str">
        <f>PROPER(TRIM('raw data'!C991))</f>
        <v>Some College</v>
      </c>
      <c r="D991" s="7" t="str">
        <f>PROPER(TRIM('raw data'!D991))</f>
        <v>Free/Reduced</v>
      </c>
      <c r="E991" s="7" t="str">
        <f>PROPER(TRIM('raw data'!E991))</f>
        <v>Completed</v>
      </c>
      <c r="F991" s="8">
        <v>67</v>
      </c>
      <c r="G991" s="8">
        <v>86</v>
      </c>
      <c r="H991" s="8">
        <v>83</v>
      </c>
      <c r="I991">
        <f t="shared" si="45"/>
        <v>236</v>
      </c>
      <c r="J991">
        <f t="shared" si="46"/>
        <v>78.666666666666671</v>
      </c>
      <c r="K991" s="7" t="str">
        <f t="shared" si="47"/>
        <v>pass</v>
      </c>
    </row>
    <row r="992" spans="1:11" x14ac:dyDescent="0.25">
      <c r="A992" t="str">
        <f>PROPER(TRIM('raw data'!A992))</f>
        <v>Male</v>
      </c>
      <c r="B992" t="str">
        <f>PROPER(TRIM('raw data'!B992))</f>
        <v>Group E</v>
      </c>
      <c r="C992" s="7" t="str">
        <f>PROPER(TRIM('raw data'!C992))</f>
        <v>High School</v>
      </c>
      <c r="D992" s="7" t="str">
        <f>PROPER(TRIM('raw data'!D992))</f>
        <v>Free/Reduced</v>
      </c>
      <c r="E992" s="7" t="str">
        <f>PROPER(TRIM('raw data'!E992))</f>
        <v>Completed</v>
      </c>
      <c r="F992" s="8">
        <v>86</v>
      </c>
      <c r="G992" s="8">
        <v>81</v>
      </c>
      <c r="H992" s="8">
        <v>75</v>
      </c>
      <c r="I992">
        <f t="shared" si="45"/>
        <v>242</v>
      </c>
      <c r="J992">
        <f t="shared" si="46"/>
        <v>80.666666666666671</v>
      </c>
      <c r="K992" s="7" t="str">
        <f t="shared" si="47"/>
        <v>pass</v>
      </c>
    </row>
    <row r="993" spans="1:11" x14ac:dyDescent="0.25">
      <c r="A993" t="str">
        <f>PROPER(TRIM('raw data'!A993))</f>
        <v>Female</v>
      </c>
      <c r="B993" t="str">
        <f>PROPER(TRIM('raw data'!B993))</f>
        <v>Group B</v>
      </c>
      <c r="C993" s="7" t="str">
        <f>PROPER(TRIM('raw data'!C993))</f>
        <v>Some High School</v>
      </c>
      <c r="D993" s="7" t="str">
        <f>PROPER(TRIM('raw data'!D993))</f>
        <v>Standard</v>
      </c>
      <c r="E993" s="7" t="str">
        <f>PROPER(TRIM('raw data'!E993))</f>
        <v>Completed</v>
      </c>
      <c r="F993" s="8">
        <v>65</v>
      </c>
      <c r="G993" s="8">
        <v>82</v>
      </c>
      <c r="H993" s="8">
        <v>78</v>
      </c>
      <c r="I993">
        <f t="shared" si="45"/>
        <v>225</v>
      </c>
      <c r="J993">
        <f t="shared" si="46"/>
        <v>75</v>
      </c>
      <c r="K993" s="7" t="str">
        <f t="shared" si="47"/>
        <v>pass</v>
      </c>
    </row>
    <row r="994" spans="1:11" x14ac:dyDescent="0.25">
      <c r="A994" t="str">
        <f>PROPER(TRIM('raw data'!A994))</f>
        <v>Female</v>
      </c>
      <c r="B994" t="str">
        <f>PROPER(TRIM('raw data'!B994))</f>
        <v>Group D</v>
      </c>
      <c r="C994" s="7" t="str">
        <f>PROPER(TRIM('raw data'!C994))</f>
        <v>Associate'S Degree</v>
      </c>
      <c r="D994" s="7" t="str">
        <f>PROPER(TRIM('raw data'!D994))</f>
        <v>Free/Reduced</v>
      </c>
      <c r="E994" s="7" t="str">
        <f>PROPER(TRIM('raw data'!E994))</f>
        <v>None</v>
      </c>
      <c r="F994" s="8">
        <v>55</v>
      </c>
      <c r="G994" s="8">
        <v>76</v>
      </c>
      <c r="H994" s="8">
        <v>76</v>
      </c>
      <c r="I994">
        <f t="shared" si="45"/>
        <v>207</v>
      </c>
      <c r="J994">
        <f t="shared" si="46"/>
        <v>69</v>
      </c>
      <c r="K994" s="7" t="str">
        <f t="shared" si="47"/>
        <v>pass</v>
      </c>
    </row>
    <row r="995" spans="1:11" x14ac:dyDescent="0.25">
      <c r="A995" t="str">
        <f>PROPER(TRIM('raw data'!A995))</f>
        <v>Female</v>
      </c>
      <c r="B995" t="str">
        <f>PROPER(TRIM('raw data'!B995))</f>
        <v>Group D</v>
      </c>
      <c r="C995" s="7" t="str">
        <f>PROPER(TRIM('raw data'!C995))</f>
        <v>Bachelor'S Degree</v>
      </c>
      <c r="D995" s="7" t="str">
        <f>PROPER(TRIM('raw data'!D995))</f>
        <v>Free/Reduced</v>
      </c>
      <c r="E995" s="7" t="str">
        <f>PROPER(TRIM('raw data'!E995))</f>
        <v>None</v>
      </c>
      <c r="F995" s="8">
        <v>62</v>
      </c>
      <c r="G995" s="8">
        <v>72</v>
      </c>
      <c r="H995" s="8">
        <v>74</v>
      </c>
      <c r="I995">
        <f t="shared" si="45"/>
        <v>208</v>
      </c>
      <c r="J995">
        <f t="shared" si="46"/>
        <v>69.333333333333329</v>
      </c>
      <c r="K995" s="7" t="str">
        <f t="shared" si="47"/>
        <v>pass</v>
      </c>
    </row>
    <row r="996" spans="1:11" x14ac:dyDescent="0.25">
      <c r="A996" t="str">
        <f>PROPER(TRIM('raw data'!A996))</f>
        <v>Male</v>
      </c>
      <c r="B996" t="str">
        <f>PROPER(TRIM('raw data'!B996))</f>
        <v>Group A</v>
      </c>
      <c r="C996" s="7" t="str">
        <f>PROPER(TRIM('raw data'!C996))</f>
        <v>High School</v>
      </c>
      <c r="D996" s="7" t="str">
        <f>PROPER(TRIM('raw data'!D996))</f>
        <v>Standard</v>
      </c>
      <c r="E996" s="7" t="str">
        <f>PROPER(TRIM('raw data'!E996))</f>
        <v>None</v>
      </c>
      <c r="F996" s="8">
        <v>63</v>
      </c>
      <c r="G996" s="8">
        <v>63</v>
      </c>
      <c r="H996" s="8">
        <v>62</v>
      </c>
      <c r="I996">
        <f t="shared" si="45"/>
        <v>188</v>
      </c>
      <c r="J996">
        <f t="shared" si="46"/>
        <v>62.666666666666664</v>
      </c>
      <c r="K996" s="7" t="str">
        <f t="shared" si="47"/>
        <v>pass</v>
      </c>
    </row>
    <row r="997" spans="1:11" x14ac:dyDescent="0.25">
      <c r="A997" t="str">
        <f>PROPER(TRIM('raw data'!A997))</f>
        <v>Female</v>
      </c>
      <c r="B997" t="str">
        <f>PROPER(TRIM('raw data'!B997))</f>
        <v>Group E</v>
      </c>
      <c r="C997" s="7" t="str">
        <f>PROPER(TRIM('raw data'!C997))</f>
        <v>Master'S Degree</v>
      </c>
      <c r="D997" s="7" t="str">
        <f>PROPER(TRIM('raw data'!D997))</f>
        <v>Standard</v>
      </c>
      <c r="E997" s="7" t="str">
        <f>PROPER(TRIM('raw data'!E997))</f>
        <v>Completed</v>
      </c>
      <c r="F997" s="8">
        <v>88</v>
      </c>
      <c r="G997" s="8">
        <v>99</v>
      </c>
      <c r="H997" s="8">
        <v>95</v>
      </c>
      <c r="I997">
        <f t="shared" si="45"/>
        <v>282</v>
      </c>
      <c r="J997">
        <f t="shared" si="46"/>
        <v>94</v>
      </c>
      <c r="K997" s="7" t="str">
        <f t="shared" si="47"/>
        <v>pass</v>
      </c>
    </row>
    <row r="998" spans="1:11" x14ac:dyDescent="0.25">
      <c r="A998" t="str">
        <f>PROPER(TRIM('raw data'!A998))</f>
        <v>Male</v>
      </c>
      <c r="B998" t="str">
        <f>PROPER(TRIM('raw data'!B998))</f>
        <v>Group C</v>
      </c>
      <c r="C998" s="7" t="str">
        <f>PROPER(TRIM('raw data'!C998))</f>
        <v>High School</v>
      </c>
      <c r="D998" s="7" t="str">
        <f>PROPER(TRIM('raw data'!D998))</f>
        <v>Free/Reduced</v>
      </c>
      <c r="E998" s="7" t="str">
        <f>PROPER(TRIM('raw data'!E998))</f>
        <v>None</v>
      </c>
      <c r="F998" s="8">
        <v>62</v>
      </c>
      <c r="G998" s="8">
        <v>55</v>
      </c>
      <c r="H998" s="8">
        <v>55</v>
      </c>
      <c r="I998">
        <f t="shared" si="45"/>
        <v>172</v>
      </c>
      <c r="J998">
        <f t="shared" si="46"/>
        <v>57.333333333333336</v>
      </c>
      <c r="K998" s="7" t="str">
        <f t="shared" si="47"/>
        <v>pass</v>
      </c>
    </row>
    <row r="999" spans="1:11" x14ac:dyDescent="0.25">
      <c r="A999" t="str">
        <f>PROPER(TRIM('raw data'!A999))</f>
        <v>Female</v>
      </c>
      <c r="B999" t="str">
        <f>PROPER(TRIM('raw data'!B999))</f>
        <v>Group C</v>
      </c>
      <c r="C999" s="7" t="str">
        <f>PROPER(TRIM('raw data'!C999))</f>
        <v>High School</v>
      </c>
      <c r="D999" s="7" t="str">
        <f>PROPER(TRIM('raw data'!D999))</f>
        <v>Free/Reduced</v>
      </c>
      <c r="E999" s="7" t="str">
        <f>PROPER(TRIM('raw data'!E999))</f>
        <v>Completed</v>
      </c>
      <c r="F999" s="8">
        <v>59</v>
      </c>
      <c r="G999" s="8">
        <v>71</v>
      </c>
      <c r="H999" s="8">
        <v>65</v>
      </c>
      <c r="I999">
        <f t="shared" si="45"/>
        <v>195</v>
      </c>
      <c r="J999">
        <f t="shared" si="46"/>
        <v>65</v>
      </c>
      <c r="K999" s="7" t="str">
        <f t="shared" si="47"/>
        <v>pass</v>
      </c>
    </row>
    <row r="1000" spans="1:11" x14ac:dyDescent="0.25">
      <c r="A1000" t="str">
        <f>PROPER(TRIM('raw data'!A1000))</f>
        <v>Female</v>
      </c>
      <c r="B1000" t="str">
        <f>PROPER(TRIM('raw data'!B1000))</f>
        <v>Group D</v>
      </c>
      <c r="C1000" s="7" t="str">
        <f>PROPER(TRIM('raw data'!C1000))</f>
        <v>Some College</v>
      </c>
      <c r="D1000" s="7" t="str">
        <f>PROPER(TRIM('raw data'!D1000))</f>
        <v>Standard</v>
      </c>
      <c r="E1000" s="7" t="str">
        <f>PROPER(TRIM('raw data'!E1000))</f>
        <v>Completed</v>
      </c>
      <c r="F1000" s="8">
        <v>68</v>
      </c>
      <c r="G1000" s="8">
        <v>78</v>
      </c>
      <c r="H1000" s="8">
        <v>77</v>
      </c>
      <c r="I1000">
        <f t="shared" si="45"/>
        <v>223</v>
      </c>
      <c r="J1000">
        <f t="shared" si="46"/>
        <v>74.333333333333329</v>
      </c>
      <c r="K1000" s="7" t="str">
        <f t="shared" si="47"/>
        <v>pass</v>
      </c>
    </row>
    <row r="1001" spans="1:11" x14ac:dyDescent="0.25">
      <c r="A1001" t="str">
        <f>PROPER(TRIM('raw data'!A1001))</f>
        <v>Female</v>
      </c>
      <c r="B1001" t="str">
        <f>PROPER(TRIM('raw data'!B1001))</f>
        <v>Group D</v>
      </c>
      <c r="C1001" s="7" t="str">
        <f>PROPER(TRIM('raw data'!C1001))</f>
        <v>Some College</v>
      </c>
      <c r="D1001" s="7" t="str">
        <f>PROPER(TRIM('raw data'!D1001))</f>
        <v>Free/Reduced</v>
      </c>
      <c r="E1001" s="7" t="str">
        <f>PROPER(TRIM('raw data'!E1001))</f>
        <v>None</v>
      </c>
      <c r="F1001" s="8">
        <v>77</v>
      </c>
      <c r="G1001" s="8">
        <v>86</v>
      </c>
      <c r="H1001" s="8">
        <v>86</v>
      </c>
      <c r="I1001">
        <f t="shared" si="45"/>
        <v>249</v>
      </c>
      <c r="J1001">
        <f t="shared" si="46"/>
        <v>83</v>
      </c>
      <c r="K1001" s="7" t="str">
        <f t="shared" si="47"/>
        <v>pass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F751B-FCDC-4593-8D01-7BAF615E2600}">
  <dimension ref="A1:D24"/>
  <sheetViews>
    <sheetView workbookViewId="0">
      <selection activeCell="B15" sqref="B15"/>
    </sheetView>
  </sheetViews>
  <sheetFormatPr defaultRowHeight="15" x14ac:dyDescent="0.25"/>
  <cols>
    <col min="1" max="1" width="17.5703125" bestFit="1" customWidth="1"/>
    <col min="2" max="2" width="23.7109375" bestFit="1" customWidth="1"/>
  </cols>
  <sheetData>
    <row r="1" spans="1:2" x14ac:dyDescent="0.25">
      <c r="A1" s="1" t="s">
        <v>25</v>
      </c>
      <c r="B1" t="s">
        <v>27</v>
      </c>
    </row>
    <row r="2" spans="1:2" x14ac:dyDescent="0.25">
      <c r="A2" s="2" t="s">
        <v>19</v>
      </c>
      <c r="B2">
        <v>69.569069069069073</v>
      </c>
    </row>
    <row r="3" spans="1:2" x14ac:dyDescent="0.25">
      <c r="A3" s="2" t="s">
        <v>10</v>
      </c>
      <c r="B3">
        <v>71.923728813559308</v>
      </c>
    </row>
    <row r="4" spans="1:2" x14ac:dyDescent="0.25">
      <c r="A4" s="2" t="s">
        <v>22</v>
      </c>
      <c r="B4">
        <v>63.09693877551021</v>
      </c>
    </row>
    <row r="5" spans="1:2" x14ac:dyDescent="0.25">
      <c r="A5" s="2" t="s">
        <v>16</v>
      </c>
      <c r="B5">
        <v>73.598870056497177</v>
      </c>
    </row>
    <row r="6" spans="1:2" x14ac:dyDescent="0.25">
      <c r="A6" s="2" t="s">
        <v>14</v>
      </c>
      <c r="B6">
        <v>68.476401179940993</v>
      </c>
    </row>
    <row r="7" spans="1:2" x14ac:dyDescent="0.25">
      <c r="A7" s="2" t="s">
        <v>23</v>
      </c>
      <c r="B7">
        <v>65.108007448789607</v>
      </c>
    </row>
    <row r="8" spans="1:2" x14ac:dyDescent="0.25">
      <c r="A8" s="2" t="s">
        <v>26</v>
      </c>
      <c r="B8">
        <v>67.770666666666727</v>
      </c>
    </row>
    <row r="20" spans="4:4" ht="18.75" x14ac:dyDescent="0.3">
      <c r="D20" s="6" t="s">
        <v>28</v>
      </c>
    </row>
    <row r="21" spans="4:4" x14ac:dyDescent="0.25">
      <c r="D21" s="4"/>
    </row>
    <row r="22" spans="4:4" x14ac:dyDescent="0.25">
      <c r="D22" s="5" t="s">
        <v>30</v>
      </c>
    </row>
    <row r="23" spans="4:4" x14ac:dyDescent="0.25">
      <c r="D23" s="4"/>
    </row>
    <row r="24" spans="4:4" x14ac:dyDescent="0.25">
      <c r="D24" s="5" t="s">
        <v>29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ACE11-2943-4B0E-9CEB-D0E0B52BC43F}">
  <dimension ref="A1:G7"/>
  <sheetViews>
    <sheetView workbookViewId="0">
      <selection activeCell="F16" sqref="F16"/>
    </sheetView>
  </sheetViews>
  <sheetFormatPr defaultRowHeight="15" x14ac:dyDescent="0.25"/>
  <cols>
    <col min="1" max="1" width="13.42578125" bestFit="1" customWidth="1"/>
    <col min="2" max="2" width="21.140625" bestFit="1" customWidth="1"/>
    <col min="3" max="3" width="23.42578125" bestFit="1" customWidth="1"/>
    <col min="4" max="4" width="22.85546875" bestFit="1" customWidth="1"/>
  </cols>
  <sheetData>
    <row r="1" spans="1:7" x14ac:dyDescent="0.25">
      <c r="A1" s="1" t="s">
        <v>25</v>
      </c>
      <c r="B1" t="s">
        <v>31</v>
      </c>
      <c r="C1" t="s">
        <v>32</v>
      </c>
      <c r="D1" t="s">
        <v>33</v>
      </c>
    </row>
    <row r="2" spans="1:7" x14ac:dyDescent="0.25">
      <c r="A2" s="2" t="s">
        <v>15</v>
      </c>
      <c r="B2">
        <v>69.69553072625699</v>
      </c>
      <c r="C2">
        <v>73.893854748603346</v>
      </c>
      <c r="D2">
        <v>74.418994413407816</v>
      </c>
    </row>
    <row r="3" spans="1:7" ht="18.75" x14ac:dyDescent="0.3">
      <c r="A3" s="2" t="s">
        <v>12</v>
      </c>
      <c r="B3">
        <v>64.077881619937699</v>
      </c>
      <c r="C3">
        <v>66.534267912772592</v>
      </c>
      <c r="D3">
        <v>64.504672897196258</v>
      </c>
      <c r="G3" s="6" t="s">
        <v>28</v>
      </c>
    </row>
    <row r="4" spans="1:7" x14ac:dyDescent="0.25">
      <c r="A4" s="2" t="s">
        <v>26</v>
      </c>
      <c r="B4">
        <v>66.088999999999999</v>
      </c>
      <c r="C4">
        <v>69.168999999999997</v>
      </c>
      <c r="D4">
        <v>68.054000000000002</v>
      </c>
    </row>
    <row r="5" spans="1:7" x14ac:dyDescent="0.25">
      <c r="G5" s="3" t="s">
        <v>34</v>
      </c>
    </row>
    <row r="7" spans="1:7" x14ac:dyDescent="0.25">
      <c r="G7" t="s">
        <v>35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B069A-A811-4B4F-953D-570089502E3F}">
  <dimension ref="A1:I10"/>
  <sheetViews>
    <sheetView workbookViewId="0">
      <selection activeCell="I15" sqref="I15"/>
    </sheetView>
  </sheetViews>
  <sheetFormatPr defaultRowHeight="15" x14ac:dyDescent="0.25"/>
  <cols>
    <col min="1" max="1" width="13.42578125" bestFit="1" customWidth="1"/>
    <col min="2" max="2" width="23.7109375" bestFit="1" customWidth="1"/>
  </cols>
  <sheetData>
    <row r="1" spans="1:9" x14ac:dyDescent="0.25">
      <c r="A1" s="1" t="s">
        <v>25</v>
      </c>
      <c r="B1" t="s">
        <v>27</v>
      </c>
    </row>
    <row r="2" spans="1:9" x14ac:dyDescent="0.25">
      <c r="A2" s="2" t="s">
        <v>8</v>
      </c>
      <c r="B2">
        <v>69.56949806949811</v>
      </c>
    </row>
    <row r="3" spans="1:9" x14ac:dyDescent="0.25">
      <c r="A3" s="2" t="s">
        <v>17</v>
      </c>
      <c r="B3">
        <v>65.837482710926707</v>
      </c>
    </row>
    <row r="4" spans="1:9" ht="18.75" x14ac:dyDescent="0.3">
      <c r="A4" s="2" t="s">
        <v>26</v>
      </c>
      <c r="B4">
        <v>67.770666666666727</v>
      </c>
      <c r="I4" s="6" t="s">
        <v>28</v>
      </c>
    </row>
    <row r="6" spans="1:9" x14ac:dyDescent="0.25">
      <c r="I6" t="s">
        <v>38</v>
      </c>
    </row>
    <row r="8" spans="1:9" x14ac:dyDescent="0.25">
      <c r="I8" s="3" t="s">
        <v>36</v>
      </c>
    </row>
    <row r="10" spans="1:9" x14ac:dyDescent="0.25">
      <c r="I10" s="3" t="s">
        <v>37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42B1F-C8CF-4BB6-B273-180FC1C5CDDC}">
  <dimension ref="A1:I8"/>
  <sheetViews>
    <sheetView workbookViewId="0">
      <selection activeCell="I11" sqref="I11"/>
    </sheetView>
  </sheetViews>
  <sheetFormatPr defaultRowHeight="15" x14ac:dyDescent="0.25"/>
  <cols>
    <col min="1" max="1" width="13.42578125" bestFit="1" customWidth="1"/>
    <col min="2" max="2" width="20.7109375" bestFit="1" customWidth="1"/>
  </cols>
  <sheetData>
    <row r="1" spans="1:9" x14ac:dyDescent="0.25">
      <c r="A1" s="1" t="s">
        <v>25</v>
      </c>
      <c r="B1" t="s">
        <v>39</v>
      </c>
    </row>
    <row r="2" spans="1:9" x14ac:dyDescent="0.25">
      <c r="A2" s="2" t="s">
        <v>20</v>
      </c>
      <c r="B2">
        <v>186.59718309859156</v>
      </c>
    </row>
    <row r="3" spans="1:9" x14ac:dyDescent="0.25">
      <c r="A3" s="2" t="s">
        <v>11</v>
      </c>
      <c r="B3">
        <v>212.51162790697674</v>
      </c>
    </row>
    <row r="4" spans="1:9" ht="18.75" x14ac:dyDescent="0.3">
      <c r="A4" s="2" t="s">
        <v>26</v>
      </c>
      <c r="B4">
        <v>203.31200000000001</v>
      </c>
      <c r="I4" s="6" t="s">
        <v>28</v>
      </c>
    </row>
    <row r="6" spans="1:9" x14ac:dyDescent="0.25">
      <c r="I6" s="3" t="s">
        <v>40</v>
      </c>
    </row>
    <row r="8" spans="1:9" x14ac:dyDescent="0.25">
      <c r="I8" s="3" t="s">
        <v>41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</vt:lpstr>
      <vt:lpstr>clean data</vt:lpstr>
      <vt:lpstr>pt 1</vt:lpstr>
      <vt:lpstr>pt 2</vt:lpstr>
      <vt:lpstr>pt 3</vt:lpstr>
      <vt:lpstr>pt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S0310839</dc:creator>
  <cp:lastModifiedBy>S0310839</cp:lastModifiedBy>
  <dcterms:created xsi:type="dcterms:W3CDTF">2026-03-17T16:37:42Z</dcterms:created>
  <dcterms:modified xsi:type="dcterms:W3CDTF">2026-03-23T12:43:52Z</dcterms:modified>
</cp:coreProperties>
</file>